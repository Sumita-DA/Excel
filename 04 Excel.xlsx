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2_ncr:500000_{60E62FD9-9692-4BE7-83BD-F996423CEBA5}" xr6:coauthVersionLast="31" xr6:coauthVersionMax="31" xr10:uidLastSave="{00000000-0000-0000-0000-000000000000}"/>
  <bookViews>
    <workbookView xWindow="0" yWindow="0" windowWidth="23040" windowHeight="9072" activeTab="9" xr2:uid="{C2E5E998-0675-4B88-823B-5C073AFDE3FA}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  <sheet name="Task 6" sheetId="6" r:id="rId6"/>
    <sheet name="Task 7" sheetId="7" r:id="rId7"/>
    <sheet name="Task 8" sheetId="8" r:id="rId8"/>
    <sheet name="Task 9" sheetId="9" r:id="rId9"/>
    <sheet name="Task 10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7" l="1"/>
  <c r="F4" i="7"/>
  <c r="H6" i="6"/>
  <c r="I4" i="6"/>
  <c r="I5" i="6"/>
  <c r="I6" i="6"/>
  <c r="I3" i="6"/>
  <c r="H4" i="6"/>
  <c r="H5" i="6"/>
  <c r="H3" i="6"/>
  <c r="G11" i="5"/>
  <c r="G10" i="5"/>
  <c r="G8" i="5"/>
  <c r="G7" i="5"/>
  <c r="G6" i="5"/>
  <c r="F7" i="4"/>
  <c r="F6" i="4"/>
  <c r="F5" i="4"/>
  <c r="F4" i="4"/>
  <c r="F5" i="3"/>
  <c r="G5" i="3"/>
  <c r="F6" i="3"/>
  <c r="G6" i="3"/>
  <c r="F7" i="3"/>
  <c r="G7" i="3"/>
  <c r="F8" i="3"/>
  <c r="G8" i="3"/>
  <c r="G4" i="3"/>
  <c r="F4" i="3"/>
</calcChain>
</file>

<file path=xl/sharedStrings.xml><?xml version="1.0" encoding="utf-8"?>
<sst xmlns="http://schemas.openxmlformats.org/spreadsheetml/2006/main" count="185" uniqueCount="131">
  <si>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</si>
  <si>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</si>
  <si>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</si>
  <si>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</si>
  <si>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</si>
  <si>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</si>
  <si>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</si>
  <si>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</si>
  <si>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</si>
  <si>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</si>
  <si>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</si>
  <si>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</si>
  <si>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</si>
  <si>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</si>
  <si>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</si>
  <si>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</si>
  <si>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</si>
  <si>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</si>
  <si>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</si>
  <si>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Task</t>
  </si>
  <si>
    <t>Format header row (Bold, Color)</t>
  </si>
  <si>
    <t>Salary → Currency (₹)</t>
  </si>
  <si>
    <t>Date → Date format</t>
  </si>
  <si>
    <t>Apply borders and auto-fit columns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</si>
  <si>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</si>
  <si>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</si>
  <si>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</si>
  <si>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</si>
  <si>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</si>
  <si>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</si>
  <si>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</si>
  <si>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</si>
  <si>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</si>
  <si>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</si>
  <si>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</si>
  <si>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</si>
  <si>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</si>
  <si>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</si>
  <si>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</si>
  <si>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</si>
  <si>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r>
      <t xml:space="preserve">Add title </t>
    </r>
    <r>
      <rPr>
        <b/>
        <sz val="11"/>
        <color theme="1"/>
        <rFont val="Calibri"/>
        <family val="2"/>
        <scheme val="minor"/>
      </rPr>
      <t>Monthly Sales Report</t>
    </r>
  </si>
  <si>
    <t>Merge &amp; center title</t>
  </si>
  <si>
    <t>Wrap text for product names</t>
  </si>
  <si>
    <t>Currency format for sales</t>
  </si>
  <si>
    <t>Add title Monthly Sales Report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</si>
  <si>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</si>
  <si>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</si>
  <si>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</si>
  <si>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</si>
  <si>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</si>
  <si>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</si>
  <si>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</si>
  <si>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</si>
  <si>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</si>
  <si>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</si>
  <si>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</si>
  <si>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Calculate Percentage</t>
  </si>
  <si>
    <t>Format percentage column</t>
  </si>
  <si>
    <t>Apply cell styles to headers</t>
  </si>
  <si>
    <t>Total</t>
  </si>
  <si>
    <t>Invoice No</t>
  </si>
  <si>
    <t>Date</t>
  </si>
  <si>
    <t>INV001</t>
  </si>
  <si>
    <t>INV002</t>
  </si>
  <si>
    <t>INV003</t>
  </si>
  <si>
    <t>INV004</t>
  </si>
  <si>
    <t>INV005</t>
  </si>
  <si>
    <t>Calculate Total Sales</t>
  </si>
  <si>
    <t>Find Average Sales</t>
  </si>
  <si>
    <t>Identify Highest &amp; Lowest Sale</t>
  </si>
  <si>
    <t>Average Sales</t>
  </si>
  <si>
    <t>Total Sales</t>
  </si>
  <si>
    <t>Highest Sales</t>
  </si>
  <si>
    <t>Lowest Sales</t>
  </si>
  <si>
    <t>Employee Name</t>
  </si>
  <si>
    <t>Suresh</t>
  </si>
  <si>
    <t>Meena</t>
  </si>
  <si>
    <t>Karan</t>
  </si>
  <si>
    <t>Ritu</t>
  </si>
  <si>
    <t>Aman</t>
  </si>
  <si>
    <t>Neel</t>
  </si>
  <si>
    <t>Total salary per department</t>
  </si>
  <si>
    <t>Average salary</t>
  </si>
  <si>
    <t>Count employees</t>
  </si>
  <si>
    <t>Average Salary</t>
  </si>
  <si>
    <t>Day 1</t>
  </si>
  <si>
    <t>Day 2</t>
  </si>
  <si>
    <t>Day 3</t>
  </si>
  <si>
    <t>Day 4</t>
  </si>
  <si>
    <t>Day 5</t>
  </si>
  <si>
    <t>P</t>
  </si>
  <si>
    <t>A</t>
  </si>
  <si>
    <t>Count Present days</t>
  </si>
  <si>
    <t>Count Absent days</t>
  </si>
  <si>
    <t>Present Days</t>
  </si>
  <si>
    <t>Absent Days</t>
  </si>
  <si>
    <t>Order ID</t>
  </si>
  <si>
    <t>O101</t>
  </si>
  <si>
    <t>O102</t>
  </si>
  <si>
    <t>O103</t>
  </si>
  <si>
    <t>O104</t>
  </si>
  <si>
    <t>O105</t>
  </si>
  <si>
    <t>O106</t>
  </si>
  <si>
    <t>Count sales above 10000</t>
  </si>
  <si>
    <t>Count sales below 5000</t>
  </si>
  <si>
    <t>sales above 10000</t>
  </si>
  <si>
    <t>sales below 5000</t>
  </si>
  <si>
    <t>Product</t>
  </si>
  <si>
    <t>Mobile</t>
  </si>
  <si>
    <t>Headphones</t>
  </si>
  <si>
    <t>Laptop</t>
  </si>
  <si>
    <t>Keyboard</t>
  </si>
  <si>
    <t>Tablet</t>
  </si>
  <si>
    <t>Highlight sales &gt; 20000 (Green)</t>
  </si>
  <si>
    <t>Highlight sales &lt; 5000 (Red)</t>
  </si>
  <si>
    <t xml:space="preserve"> </t>
  </si>
  <si>
    <t>Marks</t>
  </si>
  <si>
    <t>Bharti</t>
  </si>
  <si>
    <t>Chetan</t>
  </si>
  <si>
    <t>Deepa</t>
  </si>
  <si>
    <t>Farhan</t>
  </si>
  <si>
    <t>Marks ≥ 75 → Green</t>
  </si>
  <si>
    <t>Marks &lt; 40 → Red</t>
  </si>
  <si>
    <t>Rohit</t>
  </si>
  <si>
    <t>Simran</t>
  </si>
  <si>
    <t>Vijay</t>
  </si>
  <si>
    <t>Nisha</t>
  </si>
  <si>
    <t>Mohan</t>
  </si>
  <si>
    <t>≥ 50000 → Dark Green</t>
  </si>
  <si>
    <t>30000–49999 → Yellow</t>
  </si>
  <si>
    <t>&lt; 30000 → Light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</si>
</sst>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_ [$₹-447]* #,##0.00_ ;_ [$₹-447]* \-#,##0.00_ ;_ [$₹-447]* &quot;-&quot;??_ ;_ @_ "/>
    <numFmt numFmtId="171" formatCode="[$-409]d\-mmm\-yyyy;@"/>
    <numFmt numFmtId="172" formatCode="_ [$₹-4009]\ * #,##0.00_ ;_ [$₹-4009]\ * \-#,##0.00_ ;_ [$₹-4009]\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3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4" fillId="2" borderId="0" applyNumberFormat="0" applyBorder="0" applyAlignment="0" applyProtection="0"/>
  </cellStyleXfs>
  <cellXfs count="32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169" fontId="0" fillId="0" borderId="2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9" fontId="0" fillId="0" borderId="9" xfId="0" applyNumberFormat="1" applyBorder="1" applyAlignment="1">
      <alignment horizontal="center"/>
    </xf>
    <xf numFmtId="0" fontId="0" fillId="0" borderId="0" xfId="0" applyAlignment="1">
      <alignment horizontal="left"/>
    </xf>
    <xf numFmtId="171" fontId="0" fillId="0" borderId="7" xfId="0" applyNumberFormat="1" applyBorder="1" applyAlignment="1">
      <alignment horizontal="center"/>
    </xf>
    <xf numFmtId="171" fontId="0" fillId="0" borderId="10" xfId="0" applyNumberFormat="1" applyBorder="1" applyAlignment="1">
      <alignment horizont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center"/>
    </xf>
    <xf numFmtId="172" fontId="0" fillId="0" borderId="0" xfId="0" applyNumberFormat="1" applyAlignment="1">
      <alignment vertical="center" wrapText="1"/>
    </xf>
    <xf numFmtId="0" fontId="0" fillId="0" borderId="0" xfId="1" applyNumberFormat="1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6" fillId="0" borderId="1" xfId="2" applyFont="1" applyBorder="1" applyAlignment="1">
      <alignment horizontal="center" vertical="center"/>
    </xf>
    <xf numFmtId="0" fontId="4" fillId="2" borderId="3" xfId="3" applyBorder="1" applyAlignment="1">
      <alignment horizontal="center"/>
    </xf>
    <xf numFmtId="0" fontId="4" fillId="2" borderId="4" xfId="3" applyBorder="1" applyAlignment="1">
      <alignment horizontal="center"/>
    </xf>
    <xf numFmtId="0" fontId="4" fillId="2" borderId="5" xfId="3" applyBorder="1" applyAlignment="1">
      <alignment horizontal="center"/>
    </xf>
    <xf numFmtId="0" fontId="0" fillId="3" borderId="0" xfId="0" applyFill="1"/>
    <xf numFmtId="0" fontId="0" fillId="0" borderId="2" xfId="0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3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</cellXfs>
  <cellStyles count="4">
    <cellStyle name="Accent2" xfId="3" builtinId="33"/>
    <cellStyle name="Normal" xfId="0" builtinId="0"/>
    <cellStyle name="Percent" xfId="1" builtinId="5"/>
    <cellStyle name="Title" xfId="2" builtinId="15"/>
  </cellStyles>
  <dxfs count="28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71" formatCode="[$-409]d\-mmm\-yy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9" formatCode="_ [$₹-447]* #,##0.00_ ;_ [$₹-447]* \-#,##0.00_ ;_ [$₹-447]* &quot;-&quot;??_ ;_ @_ 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34D738-F100-4DC4-84B1-F19B3DE2008A}" name="Table1" displayName="Table1" ref="A3:E8" totalsRowShown="0" headerRowDxfId="22" dataDxfId="21" headerRowBorderDxfId="19" tableBorderDxfId="20" totalsRowBorderDxfId="18" headerRowCellStyle="Accent2" dataCellStyle="Neutral">
  <autoFilter ref="A3:E8" xr:uid="{7850AC44-E816-4D11-A384-4CDFA7DCB47F}"/>
  <tableColumns count="5">
    <tableColumn id="1" xr3:uid="{E33BB408-5F2B-4B93-84EB-88A018E064D5}" name="Employee ID" dataDxfId="27" dataCellStyle="Normal"/>
    <tableColumn id="2" xr3:uid="{849BA1A9-0A63-47B4-B81F-6919F4A321D9}" name="Name" dataDxfId="26" dataCellStyle="Normal"/>
    <tableColumn id="3" xr3:uid="{28C326A5-A0F6-46B1-AF3D-5F575931D666}" name="Department" dataDxfId="25" dataCellStyle="Normal"/>
    <tableColumn id="4" xr3:uid="{4345B1FF-A689-4EAB-822D-2A1F929791E4}" name="Salary" dataDxfId="24" dataCellStyle="Normal"/>
    <tableColumn id="5" xr3:uid="{88EBFF4B-79F7-4CF2-BF6E-19D4926DFC9F}" name="Joining Date" dataDxfId="23" dataCellStyle="Normal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2B327-9673-43DB-8AA1-2C8C9206DBB3}">
  <dimension ref="A3:E16"/>
  <sheetViews>
    <sheetView workbookViewId="0">
      <selection activeCell="A3" sqref="A3"/>
    </sheetView>
  </sheetViews>
  <sheetFormatPr defaultColWidth="13.109375" defaultRowHeight="14.4" x14ac:dyDescent="0.3"/>
  <cols>
    <col min="1" max="16384" width="13.109375" style="6"/>
  </cols>
  <sheetData>
    <row r="3" spans="1:5" x14ac:dyDescent="0.3">
      <c r="A3" s="23" t="s">
        <v>0</v>
      </c>
      <c r="B3" s="24" t="s">
        <v>1</v>
      </c>
      <c r="C3" s="24" t="s">
        <v>2</v>
      </c>
      <c r="D3" s="24" t="s">
        <v>3</v>
      </c>
      <c r="E3" s="25" t="s">
        <v>4</v>
      </c>
    </row>
    <row r="4" spans="1:5" x14ac:dyDescent="0.3">
      <c r="A4" s="7" t="s">
        <v>5</v>
      </c>
      <c r="B4" s="8" t="s">
        <v>6</v>
      </c>
      <c r="C4" s="8" t="s">
        <v>7</v>
      </c>
      <c r="D4" s="9">
        <v>32000</v>
      </c>
      <c r="E4" s="14">
        <v>44573</v>
      </c>
    </row>
    <row r="5" spans="1:5" x14ac:dyDescent="0.3">
      <c r="A5" s="7" t="s">
        <v>8</v>
      </c>
      <c r="B5" s="8" t="s">
        <v>9</v>
      </c>
      <c r="C5" s="8" t="s">
        <v>10</v>
      </c>
      <c r="D5" s="9">
        <v>45000</v>
      </c>
      <c r="E5" s="14">
        <v>44260</v>
      </c>
    </row>
    <row r="6" spans="1:5" x14ac:dyDescent="0.3">
      <c r="A6" s="7" t="s">
        <v>11</v>
      </c>
      <c r="B6" s="8" t="s">
        <v>12</v>
      </c>
      <c r="C6" s="8" t="s">
        <v>13</v>
      </c>
      <c r="D6" s="9">
        <v>38000</v>
      </c>
      <c r="E6" s="14">
        <v>44030</v>
      </c>
    </row>
    <row r="7" spans="1:5" x14ac:dyDescent="0.3">
      <c r="A7" s="7" t="s">
        <v>14</v>
      </c>
      <c r="B7" s="8" t="s">
        <v>15</v>
      </c>
      <c r="C7" s="8" t="s">
        <v>10</v>
      </c>
      <c r="D7" s="9">
        <v>52000</v>
      </c>
      <c r="E7" s="14">
        <v>43779</v>
      </c>
    </row>
    <row r="8" spans="1:5" x14ac:dyDescent="0.3">
      <c r="A8" s="10" t="s">
        <v>16</v>
      </c>
      <c r="B8" s="11" t="s">
        <v>17</v>
      </c>
      <c r="C8" s="11" t="s">
        <v>18</v>
      </c>
      <c r="D8" s="12">
        <v>30000</v>
      </c>
      <c r="E8" s="15">
        <v>45102</v>
      </c>
    </row>
    <row r="11" spans="1:5" x14ac:dyDescent="0.3">
      <c r="A11" s="13" t="s">
        <v>19</v>
      </c>
    </row>
    <row r="12" spans="1:5" x14ac:dyDescent="0.3">
      <c r="A12" s="13"/>
    </row>
    <row r="13" spans="1:5" x14ac:dyDescent="0.3">
      <c r="A13" s="13" t="s">
        <v>20</v>
      </c>
    </row>
    <row r="14" spans="1:5" x14ac:dyDescent="0.3">
      <c r="A14" s="13" t="s">
        <v>21</v>
      </c>
    </row>
    <row r="15" spans="1:5" x14ac:dyDescent="0.3">
      <c r="A15" s="13" t="s">
        <v>22</v>
      </c>
    </row>
    <row r="16" spans="1:5" x14ac:dyDescent="0.3">
      <c r="A16" s="13" t="s">
        <v>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8F279-ED2C-4D31-AE19-121BEBBE44A9}">
  <dimension ref="A2:D15"/>
  <sheetViews>
    <sheetView workbookViewId="0">
      <selection activeCell="C4" sqref="C4"/>
    </sheetView>
  </sheetViews>
  <sheetFormatPr defaultRowHeight="14.4" x14ac:dyDescent="0.3"/>
  <cols>
    <col min="1" max="1" width="18.5546875" customWidth="1"/>
    <col min="2" max="2" width="6.77734375" bestFit="1" customWidth="1"/>
    <col min="3" max="3" width="11.33203125" bestFit="1" customWidth="1"/>
    <col min="4" max="4" width="8.77734375" bestFit="1" customWidth="1"/>
  </cols>
  <sheetData>
    <row r="2" spans="1:4" x14ac:dyDescent="0.3">
      <c r="A2" s="18" t="s">
        <v>44</v>
      </c>
      <c r="B2" s="18"/>
      <c r="C2" s="18"/>
      <c r="D2" s="18"/>
    </row>
    <row r="3" spans="1:4" ht="28.8" x14ac:dyDescent="0.3">
      <c r="A3" s="1" t="s">
        <v>24</v>
      </c>
      <c r="B3" s="1" t="s">
        <v>25</v>
      </c>
      <c r="C3" s="1" t="s">
        <v>26</v>
      </c>
      <c r="D3" s="1" t="s">
        <v>27</v>
      </c>
    </row>
    <row r="4" spans="1:4" ht="28.8" x14ac:dyDescent="0.3">
      <c r="A4" s="2" t="s">
        <v>28</v>
      </c>
      <c r="B4" s="2" t="s">
        <v>29</v>
      </c>
      <c r="C4" s="19">
        <v>45000</v>
      </c>
      <c r="D4" s="2" t="s">
        <v>30</v>
      </c>
    </row>
    <row r="5" spans="1:4" x14ac:dyDescent="0.3">
      <c r="A5" s="2" t="s">
        <v>31</v>
      </c>
      <c r="B5" s="2" t="s">
        <v>32</v>
      </c>
      <c r="C5" s="19">
        <v>1200</v>
      </c>
      <c r="D5" s="2" t="s">
        <v>33</v>
      </c>
    </row>
    <row r="6" spans="1:4" ht="28.8" x14ac:dyDescent="0.3">
      <c r="A6" s="2" t="s">
        <v>34</v>
      </c>
      <c r="B6" s="2" t="s">
        <v>35</v>
      </c>
      <c r="C6" s="19">
        <v>18000</v>
      </c>
      <c r="D6" s="2" t="s">
        <v>36</v>
      </c>
    </row>
    <row r="7" spans="1:4" ht="28.8" x14ac:dyDescent="0.3">
      <c r="A7" s="2" t="s">
        <v>37</v>
      </c>
      <c r="B7" s="2" t="s">
        <v>38</v>
      </c>
      <c r="C7" s="19">
        <v>62000</v>
      </c>
      <c r="D7" s="2" t="s">
        <v>39</v>
      </c>
    </row>
    <row r="10" spans="1:4" ht="18" x14ac:dyDescent="0.3">
      <c r="A10" s="16" t="s">
        <v>19</v>
      </c>
    </row>
    <row r="11" spans="1:4" x14ac:dyDescent="0.3">
      <c r="A11" s="17"/>
    </row>
    <row r="12" spans="1:4" x14ac:dyDescent="0.3">
      <c r="A12" s="17" t="s">
        <v>40</v>
      </c>
    </row>
    <row r="13" spans="1:4" x14ac:dyDescent="0.3">
      <c r="A13" s="17" t="s">
        <v>41</v>
      </c>
    </row>
    <row r="14" spans="1:4" x14ac:dyDescent="0.3">
      <c r="A14" s="17" t="s">
        <v>42</v>
      </c>
    </row>
    <row r="15" spans="1:4" x14ac:dyDescent="0.3">
      <c r="A15" s="17" t="s">
        <v>43</v>
      </c>
    </row>
  </sheetData>
  <mergeCells count="1"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FAE22-AE6C-4DB4-A8BD-F35C24EAF669}">
  <dimension ref="A3:G15"/>
  <sheetViews>
    <sheetView workbookViewId="0">
      <selection activeCell="A3" sqref="A3"/>
    </sheetView>
  </sheetViews>
  <sheetFormatPr defaultRowHeight="14.4" x14ac:dyDescent="0.3"/>
  <cols>
    <col min="1" max="1" width="9.77734375" customWidth="1"/>
    <col min="2" max="2" width="15.88671875" bestFit="1" customWidth="1"/>
    <col min="3" max="3" width="7.5546875" bestFit="1" customWidth="1"/>
    <col min="4" max="4" width="8.6640625" bestFit="1" customWidth="1"/>
    <col min="5" max="5" width="8.21875" bestFit="1" customWidth="1"/>
    <col min="6" max="6" width="6.21875" bestFit="1" customWidth="1"/>
    <col min="7" max="7" width="12.6640625" bestFit="1" customWidth="1"/>
  </cols>
  <sheetData>
    <row r="3" spans="1:7" ht="18.600000000000001" thickBot="1" x14ac:dyDescent="0.35">
      <c r="A3" s="22" t="s">
        <v>45</v>
      </c>
      <c r="B3" s="22" t="s">
        <v>46</v>
      </c>
      <c r="C3" s="22" t="s">
        <v>47</v>
      </c>
      <c r="D3" s="22" t="s">
        <v>48</v>
      </c>
      <c r="E3" s="22" t="s">
        <v>49</v>
      </c>
      <c r="F3" s="22" t="s">
        <v>59</v>
      </c>
      <c r="G3" s="22" t="s">
        <v>50</v>
      </c>
    </row>
    <row r="4" spans="1:7" ht="15" thickTop="1" x14ac:dyDescent="0.3">
      <c r="A4" s="2">
        <v>1</v>
      </c>
      <c r="B4" s="2" t="s">
        <v>51</v>
      </c>
      <c r="C4" s="2">
        <v>78</v>
      </c>
      <c r="D4" s="2">
        <v>82</v>
      </c>
      <c r="E4" s="2">
        <v>74</v>
      </c>
      <c r="F4" s="20">
        <f>SUM(C4:E4)</f>
        <v>234</v>
      </c>
      <c r="G4" s="21">
        <f>F4/300</f>
        <v>0.78</v>
      </c>
    </row>
    <row r="5" spans="1:7" x14ac:dyDescent="0.3">
      <c r="A5" s="2">
        <v>2</v>
      </c>
      <c r="B5" s="2" t="s">
        <v>52</v>
      </c>
      <c r="C5" s="2">
        <v>65</v>
      </c>
      <c r="D5" s="2">
        <v>70</v>
      </c>
      <c r="E5" s="2">
        <v>68</v>
      </c>
      <c r="F5" s="20">
        <f t="shared" ref="F5:F8" si="0">SUM(C5:E5)</f>
        <v>203</v>
      </c>
      <c r="G5" s="21">
        <f t="shared" ref="G5:G8" si="1">F5/300</f>
        <v>0.67666666666666664</v>
      </c>
    </row>
    <row r="6" spans="1:7" x14ac:dyDescent="0.3">
      <c r="A6" s="2">
        <v>3</v>
      </c>
      <c r="B6" s="2" t="s">
        <v>53</v>
      </c>
      <c r="C6" s="2">
        <v>90</v>
      </c>
      <c r="D6" s="2">
        <v>88</v>
      </c>
      <c r="E6" s="2">
        <v>92</v>
      </c>
      <c r="F6" s="20">
        <f t="shared" si="0"/>
        <v>270</v>
      </c>
      <c r="G6" s="21">
        <f t="shared" si="1"/>
        <v>0.9</v>
      </c>
    </row>
    <row r="7" spans="1:7" x14ac:dyDescent="0.3">
      <c r="A7" s="2">
        <v>4</v>
      </c>
      <c r="B7" s="2" t="s">
        <v>54</v>
      </c>
      <c r="C7" s="2">
        <v>35</v>
      </c>
      <c r="D7" s="2">
        <v>40</v>
      </c>
      <c r="E7" s="2">
        <v>38</v>
      </c>
      <c r="F7" s="20">
        <f t="shared" si="0"/>
        <v>113</v>
      </c>
      <c r="G7" s="21">
        <f t="shared" si="1"/>
        <v>0.37666666666666665</v>
      </c>
    </row>
    <row r="8" spans="1:7" x14ac:dyDescent="0.3">
      <c r="A8" s="2">
        <v>5</v>
      </c>
      <c r="B8" s="2" t="s">
        <v>55</v>
      </c>
      <c r="C8" s="2">
        <v>55</v>
      </c>
      <c r="D8" s="2">
        <v>60</v>
      </c>
      <c r="E8" s="2">
        <v>58</v>
      </c>
      <c r="F8" s="20">
        <f t="shared" si="0"/>
        <v>173</v>
      </c>
      <c r="G8" s="21">
        <f t="shared" si="1"/>
        <v>0.57666666666666666</v>
      </c>
    </row>
    <row r="11" spans="1:7" ht="18" x14ac:dyDescent="0.3">
      <c r="A11" s="16" t="s">
        <v>19</v>
      </c>
    </row>
    <row r="12" spans="1:7" x14ac:dyDescent="0.3">
      <c r="A12" s="17"/>
    </row>
    <row r="13" spans="1:7" x14ac:dyDescent="0.3">
      <c r="A13" s="17" t="s">
        <v>56</v>
      </c>
    </row>
    <row r="14" spans="1:7" x14ac:dyDescent="0.3">
      <c r="A14" s="17" t="s">
        <v>57</v>
      </c>
    </row>
    <row r="15" spans="1:7" x14ac:dyDescent="0.3">
      <c r="A15" s="17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45B1-68B8-49F9-A0C4-5222C5C55C99}">
  <dimension ref="A3:F16"/>
  <sheetViews>
    <sheetView workbookViewId="0">
      <selection activeCell="A3" sqref="A3"/>
    </sheetView>
  </sheetViews>
  <sheetFormatPr defaultRowHeight="14.4" x14ac:dyDescent="0.3"/>
  <cols>
    <col min="1" max="1" width="7.109375" bestFit="1" customWidth="1"/>
    <col min="2" max="2" width="10.5546875" bestFit="1" customWidth="1"/>
    <col min="3" max="3" width="7.88671875" bestFit="1" customWidth="1"/>
    <col min="5" max="5" width="12.109375" bestFit="1" customWidth="1"/>
  </cols>
  <sheetData>
    <row r="3" spans="1:6" ht="28.8" x14ac:dyDescent="0.3">
      <c r="A3" s="4" t="s">
        <v>60</v>
      </c>
      <c r="B3" s="4" t="s">
        <v>61</v>
      </c>
      <c r="C3" s="4" t="s">
        <v>26</v>
      </c>
    </row>
    <row r="4" spans="1:6" x14ac:dyDescent="0.3">
      <c r="A4" s="2" t="s">
        <v>62</v>
      </c>
      <c r="B4" s="3">
        <v>45292</v>
      </c>
      <c r="C4" s="2">
        <v>12000</v>
      </c>
      <c r="E4" s="26" t="s">
        <v>71</v>
      </c>
      <c r="F4">
        <f>SUM(C4:C8)</f>
        <v>92000</v>
      </c>
    </row>
    <row r="5" spans="1:6" x14ac:dyDescent="0.3">
      <c r="A5" s="2" t="s">
        <v>63</v>
      </c>
      <c r="B5" s="3">
        <v>45294</v>
      </c>
      <c r="C5" s="2">
        <v>25000</v>
      </c>
      <c r="E5" s="26" t="s">
        <v>70</v>
      </c>
      <c r="F5">
        <f>AVERAGE(C4:C8)</f>
        <v>18400</v>
      </c>
    </row>
    <row r="6" spans="1:6" x14ac:dyDescent="0.3">
      <c r="A6" s="2" t="s">
        <v>64</v>
      </c>
      <c r="B6" s="3">
        <v>45296</v>
      </c>
      <c r="C6" s="2">
        <v>8000</v>
      </c>
      <c r="E6" s="26" t="s">
        <v>72</v>
      </c>
      <c r="F6">
        <f>MAX(C4:C8)</f>
        <v>32000</v>
      </c>
    </row>
    <row r="7" spans="1:6" x14ac:dyDescent="0.3">
      <c r="A7" s="2" t="s">
        <v>65</v>
      </c>
      <c r="B7" s="3">
        <v>45299</v>
      </c>
      <c r="C7" s="2">
        <v>32000</v>
      </c>
      <c r="E7" s="26" t="s">
        <v>73</v>
      </c>
      <c r="F7">
        <f>MIN(C4:C8)</f>
        <v>8000</v>
      </c>
    </row>
    <row r="8" spans="1:6" x14ac:dyDescent="0.3">
      <c r="A8" s="2" t="s">
        <v>66</v>
      </c>
      <c r="B8" s="3">
        <v>45301</v>
      </c>
      <c r="C8" s="2">
        <v>15000</v>
      </c>
    </row>
    <row r="9" spans="1:6" x14ac:dyDescent="0.3">
      <c r="A9" s="2"/>
      <c r="B9" s="3"/>
      <c r="C9" s="2"/>
    </row>
    <row r="10" spans="1:6" x14ac:dyDescent="0.3">
      <c r="A10" s="2"/>
      <c r="B10" s="3"/>
      <c r="C10" s="2"/>
    </row>
    <row r="12" spans="1:6" ht="18" x14ac:dyDescent="0.3">
      <c r="A12" s="16" t="s">
        <v>19</v>
      </c>
    </row>
    <row r="13" spans="1:6" x14ac:dyDescent="0.3">
      <c r="A13" s="17"/>
    </row>
    <row r="14" spans="1:6" x14ac:dyDescent="0.3">
      <c r="A14" s="17" t="s">
        <v>67</v>
      </c>
    </row>
    <row r="15" spans="1:6" x14ac:dyDescent="0.3">
      <c r="A15" s="17" t="s">
        <v>68</v>
      </c>
    </row>
    <row r="16" spans="1:6" x14ac:dyDescent="0.3">
      <c r="A16" s="17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EE0C1-908E-4EC0-AAF8-DF9AD127A991}">
  <dimension ref="A3:G17"/>
  <sheetViews>
    <sheetView workbookViewId="0">
      <selection activeCell="G8" sqref="G8"/>
    </sheetView>
  </sheetViews>
  <sheetFormatPr defaultColWidth="9" defaultRowHeight="14.4" x14ac:dyDescent="0.3"/>
  <cols>
    <col min="1" max="1" width="25.21875" bestFit="1" customWidth="1"/>
    <col min="2" max="2" width="8.33203125" bestFit="1" customWidth="1"/>
    <col min="3" max="3" width="6.109375" bestFit="1" customWidth="1"/>
    <col min="4" max="4" width="10.77734375" customWidth="1"/>
  </cols>
  <sheetData>
    <row r="3" spans="1:7" ht="18" x14ac:dyDescent="0.3">
      <c r="A3" s="16"/>
    </row>
    <row r="5" spans="1:7" ht="28.8" x14ac:dyDescent="0.3">
      <c r="A5" s="4" t="s">
        <v>74</v>
      </c>
      <c r="B5" s="4" t="s">
        <v>2</v>
      </c>
      <c r="C5" s="4" t="s">
        <v>3</v>
      </c>
      <c r="F5" s="28" t="s">
        <v>81</v>
      </c>
      <c r="G5" s="28"/>
    </row>
    <row r="6" spans="1:7" x14ac:dyDescent="0.3">
      <c r="A6" s="2" t="s">
        <v>75</v>
      </c>
      <c r="B6" s="2" t="s">
        <v>7</v>
      </c>
      <c r="C6" s="2">
        <v>28000</v>
      </c>
      <c r="F6" s="5" t="s">
        <v>7</v>
      </c>
      <c r="G6" s="5">
        <f>SUMIF(B6:B11,"HR",C6:C11)</f>
        <v>58000</v>
      </c>
    </row>
    <row r="7" spans="1:7" x14ac:dyDescent="0.3">
      <c r="A7" s="2" t="s">
        <v>76</v>
      </c>
      <c r="B7" s="2" t="s">
        <v>10</v>
      </c>
      <c r="C7" s="2">
        <v>45000</v>
      </c>
      <c r="F7" s="27" t="s">
        <v>10</v>
      </c>
      <c r="G7" s="5">
        <f>SUMIF(B6:B11,"IT",C6:C11)</f>
        <v>95000</v>
      </c>
    </row>
    <row r="8" spans="1:7" x14ac:dyDescent="0.3">
      <c r="A8" s="2" t="s">
        <v>77</v>
      </c>
      <c r="B8" s="2" t="s">
        <v>10</v>
      </c>
      <c r="C8" s="2">
        <v>50000</v>
      </c>
      <c r="F8" s="27" t="s">
        <v>13</v>
      </c>
      <c r="G8" s="5">
        <f>SUMIF(B6:B11,"Finance",C6:C11)</f>
        <v>80000</v>
      </c>
    </row>
    <row r="9" spans="1:7" x14ac:dyDescent="0.3">
      <c r="A9" s="2" t="s">
        <v>78</v>
      </c>
      <c r="B9" s="2" t="s">
        <v>13</v>
      </c>
      <c r="C9" s="2">
        <v>42000</v>
      </c>
    </row>
    <row r="10" spans="1:7" x14ac:dyDescent="0.3">
      <c r="A10" s="2" t="s">
        <v>79</v>
      </c>
      <c r="B10" s="2" t="s">
        <v>7</v>
      </c>
      <c r="C10" s="2">
        <v>30000</v>
      </c>
      <c r="F10" s="29" t="s">
        <v>84</v>
      </c>
      <c r="G10" s="5">
        <f>AVERAGE(C6:C11)</f>
        <v>38833.333333333336</v>
      </c>
    </row>
    <row r="11" spans="1:7" x14ac:dyDescent="0.3">
      <c r="A11" s="2" t="s">
        <v>80</v>
      </c>
      <c r="B11" s="2" t="s">
        <v>13</v>
      </c>
      <c r="C11" s="2">
        <v>38000</v>
      </c>
      <c r="F11" s="29" t="s">
        <v>83</v>
      </c>
      <c r="G11" s="5">
        <f>COUNTA(A6:A11)</f>
        <v>6</v>
      </c>
    </row>
    <row r="13" spans="1:7" ht="18" x14ac:dyDescent="0.3">
      <c r="A13" s="16" t="s">
        <v>19</v>
      </c>
    </row>
    <row r="14" spans="1:7" x14ac:dyDescent="0.3">
      <c r="A14" s="17"/>
    </row>
    <row r="15" spans="1:7" x14ac:dyDescent="0.3">
      <c r="A15" s="17" t="s">
        <v>81</v>
      </c>
    </row>
    <row r="16" spans="1:7" x14ac:dyDescent="0.3">
      <c r="A16" s="17" t="s">
        <v>82</v>
      </c>
    </row>
    <row r="17" spans="1:1" x14ac:dyDescent="0.3">
      <c r="A17" s="17" t="s">
        <v>83</v>
      </c>
    </row>
  </sheetData>
  <mergeCells count="1">
    <mergeCell ref="F5:G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80800-69D7-4ADB-B949-C75762ADEC14}">
  <dimension ref="A2:I11"/>
  <sheetViews>
    <sheetView workbookViewId="0">
      <selection activeCell="H6" sqref="H6"/>
    </sheetView>
  </sheetViews>
  <sheetFormatPr defaultRowHeight="14.4" x14ac:dyDescent="0.3"/>
  <sheetData>
    <row r="2" spans="1:9" ht="28.8" x14ac:dyDescent="0.3">
      <c r="A2" s="1" t="s">
        <v>46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H2" s="30" t="s">
        <v>94</v>
      </c>
      <c r="I2" s="30" t="s">
        <v>95</v>
      </c>
    </row>
    <row r="3" spans="1:9" x14ac:dyDescent="0.3">
      <c r="A3" s="2" t="s">
        <v>51</v>
      </c>
      <c r="B3" s="2" t="s">
        <v>90</v>
      </c>
      <c r="C3" s="2" t="s">
        <v>91</v>
      </c>
      <c r="D3" s="2" t="s">
        <v>90</v>
      </c>
      <c r="E3" s="2" t="s">
        <v>90</v>
      </c>
      <c r="F3" s="2" t="s">
        <v>90</v>
      </c>
      <c r="H3" s="5">
        <f>COUNTIF(B3:F3,"P")</f>
        <v>4</v>
      </c>
      <c r="I3" s="5">
        <f>COUNTIF(B3:F3,"A")</f>
        <v>1</v>
      </c>
    </row>
    <row r="4" spans="1:9" x14ac:dyDescent="0.3">
      <c r="A4" s="2" t="s">
        <v>52</v>
      </c>
      <c r="B4" s="2" t="s">
        <v>90</v>
      </c>
      <c r="C4" s="2" t="s">
        <v>90</v>
      </c>
      <c r="D4" s="2" t="s">
        <v>90</v>
      </c>
      <c r="E4" s="2" t="s">
        <v>91</v>
      </c>
      <c r="F4" s="2" t="s">
        <v>90</v>
      </c>
      <c r="H4" s="5">
        <f t="shared" ref="H4:H6" si="0">COUNTIF(B4:F4,"P")</f>
        <v>4</v>
      </c>
      <c r="I4" s="5">
        <f t="shared" ref="I4:I6" si="1">COUNTIF(B4:F4,"A")</f>
        <v>1</v>
      </c>
    </row>
    <row r="5" spans="1:9" x14ac:dyDescent="0.3">
      <c r="A5" s="2" t="s">
        <v>53</v>
      </c>
      <c r="B5" s="2" t="s">
        <v>91</v>
      </c>
      <c r="C5" s="2" t="s">
        <v>90</v>
      </c>
      <c r="D5" s="2" t="s">
        <v>90</v>
      </c>
      <c r="E5" s="2" t="s">
        <v>90</v>
      </c>
      <c r="F5" s="2" t="s">
        <v>90</v>
      </c>
      <c r="H5" s="5">
        <f t="shared" si="0"/>
        <v>4</v>
      </c>
      <c r="I5" s="5">
        <f t="shared" si="1"/>
        <v>1</v>
      </c>
    </row>
    <row r="6" spans="1:9" x14ac:dyDescent="0.3">
      <c r="A6" s="2" t="s">
        <v>54</v>
      </c>
      <c r="B6" s="2" t="s">
        <v>90</v>
      </c>
      <c r="C6" s="2" t="s">
        <v>91</v>
      </c>
      <c r="D6" s="2" t="s">
        <v>91</v>
      </c>
      <c r="E6" s="2" t="s">
        <v>90</v>
      </c>
      <c r="F6" s="2" t="s">
        <v>91</v>
      </c>
      <c r="H6" s="5">
        <f>COUNTIF(B6:F6,"P")</f>
        <v>2</v>
      </c>
      <c r="I6" s="5">
        <f t="shared" si="1"/>
        <v>3</v>
      </c>
    </row>
    <row r="8" spans="1:9" ht="18" x14ac:dyDescent="0.3">
      <c r="A8" s="16" t="s">
        <v>19</v>
      </c>
    </row>
    <row r="9" spans="1:9" x14ac:dyDescent="0.3">
      <c r="A9" s="17"/>
    </row>
    <row r="10" spans="1:9" x14ac:dyDescent="0.3">
      <c r="A10" s="17" t="s">
        <v>92</v>
      </c>
    </row>
    <row r="11" spans="1:9" x14ac:dyDescent="0.3">
      <c r="A11" s="17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28226-0F3C-4DCF-AD52-3CD6C9649E4E}">
  <dimension ref="A2:F13"/>
  <sheetViews>
    <sheetView workbookViewId="0">
      <selection activeCell="E4" sqref="E4"/>
    </sheetView>
  </sheetViews>
  <sheetFormatPr defaultRowHeight="14.4" x14ac:dyDescent="0.3"/>
  <sheetData>
    <row r="2" spans="1:6" ht="28.8" x14ac:dyDescent="0.3">
      <c r="A2" s="1" t="s">
        <v>96</v>
      </c>
      <c r="B2" s="1" t="s">
        <v>26</v>
      </c>
    </row>
    <row r="3" spans="1:6" x14ac:dyDescent="0.3">
      <c r="A3" s="2" t="s">
        <v>97</v>
      </c>
      <c r="B3" s="2">
        <v>4500</v>
      </c>
    </row>
    <row r="4" spans="1:6" ht="43.2" x14ac:dyDescent="0.3">
      <c r="A4" s="2" t="s">
        <v>98</v>
      </c>
      <c r="B4" s="2">
        <v>12000</v>
      </c>
      <c r="E4" s="31" t="s">
        <v>105</v>
      </c>
      <c r="F4" s="31">
        <f>COUNTIF(B3:B8,"&gt;10000")</f>
        <v>3</v>
      </c>
    </row>
    <row r="5" spans="1:6" ht="43.2" x14ac:dyDescent="0.3">
      <c r="A5" s="2" t="s">
        <v>99</v>
      </c>
      <c r="B5" s="2">
        <v>8000</v>
      </c>
      <c r="E5" s="31" t="s">
        <v>106</v>
      </c>
      <c r="F5" s="31">
        <f>COUNTIF(B3:B8,"&lt;5000")</f>
        <v>2</v>
      </c>
    </row>
    <row r="6" spans="1:6" x14ac:dyDescent="0.3">
      <c r="A6" s="2" t="s">
        <v>100</v>
      </c>
      <c r="B6" s="2">
        <v>25000</v>
      </c>
    </row>
    <row r="7" spans="1:6" x14ac:dyDescent="0.3">
      <c r="A7" s="2" t="s">
        <v>101</v>
      </c>
      <c r="B7" s="2">
        <v>3000</v>
      </c>
    </row>
    <row r="8" spans="1:6" x14ac:dyDescent="0.3">
      <c r="A8" s="2" t="s">
        <v>102</v>
      </c>
      <c r="B8" s="2">
        <v>15000</v>
      </c>
    </row>
    <row r="10" spans="1:6" ht="18" x14ac:dyDescent="0.3">
      <c r="A10" s="16" t="s">
        <v>19</v>
      </c>
    </row>
    <row r="11" spans="1:6" x14ac:dyDescent="0.3">
      <c r="A11" s="17"/>
    </row>
    <row r="12" spans="1:6" x14ac:dyDescent="0.3">
      <c r="A12" s="17" t="s">
        <v>103</v>
      </c>
    </row>
    <row r="13" spans="1:6" x14ac:dyDescent="0.3">
      <c r="A13" s="17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D12AC-BD71-43C4-B015-0D8FE6D59D49}">
  <dimension ref="A3:E13"/>
  <sheetViews>
    <sheetView workbookViewId="0">
      <selection activeCell="B7" sqref="B7"/>
    </sheetView>
  </sheetViews>
  <sheetFormatPr defaultRowHeight="14.4" x14ac:dyDescent="0.3"/>
  <sheetData>
    <row r="3" spans="1:5" ht="28.8" x14ac:dyDescent="0.3">
      <c r="A3" s="1" t="s">
        <v>107</v>
      </c>
      <c r="B3" s="1" t="s">
        <v>26</v>
      </c>
    </row>
    <row r="4" spans="1:5" x14ac:dyDescent="0.3">
      <c r="A4" s="2" t="s">
        <v>108</v>
      </c>
      <c r="B4" s="2">
        <v>22000</v>
      </c>
    </row>
    <row r="5" spans="1:5" ht="28.8" x14ac:dyDescent="0.3">
      <c r="A5" s="2" t="s">
        <v>109</v>
      </c>
      <c r="B5" s="2">
        <v>3500</v>
      </c>
      <c r="E5" t="s">
        <v>115</v>
      </c>
    </row>
    <row r="6" spans="1:5" x14ac:dyDescent="0.3">
      <c r="A6" s="2" t="s">
        <v>110</v>
      </c>
      <c r="B6" s="2">
        <v>58000</v>
      </c>
    </row>
    <row r="7" spans="1:5" x14ac:dyDescent="0.3">
      <c r="A7" s="2" t="s">
        <v>111</v>
      </c>
      <c r="B7" s="2">
        <v>1800</v>
      </c>
    </row>
    <row r="8" spans="1:5" x14ac:dyDescent="0.3">
      <c r="A8" s="2" t="s">
        <v>112</v>
      </c>
      <c r="B8" s="2">
        <v>12000</v>
      </c>
    </row>
    <row r="10" spans="1:5" ht="18" x14ac:dyDescent="0.3">
      <c r="A10" s="16" t="s">
        <v>19</v>
      </c>
    </row>
    <row r="11" spans="1:5" x14ac:dyDescent="0.3">
      <c r="A11" s="17"/>
    </row>
    <row r="12" spans="1:5" x14ac:dyDescent="0.3">
      <c r="A12" s="17" t="s">
        <v>113</v>
      </c>
    </row>
    <row r="13" spans="1:5" x14ac:dyDescent="0.3">
      <c r="A13" s="17" t="s">
        <v>114</v>
      </c>
    </row>
  </sheetData>
  <conditionalFormatting sqref="D4">
    <cfRule type="cellIs" dxfId="16" priority="3" operator="greaterThan">
      <formula>"&gt;20000"</formula>
    </cfRule>
  </conditionalFormatting>
  <conditionalFormatting sqref="B4:B8">
    <cfRule type="cellIs" dxfId="12" priority="2" operator="greaterThan">
      <formula>20000</formula>
    </cfRule>
    <cfRule type="cellIs" dxfId="13" priority="1" operator="lessThan">
      <formula>5000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BE7C7-98C9-4B0D-A2B9-EE4817DC74A7}">
  <dimension ref="A4:C14"/>
  <sheetViews>
    <sheetView workbookViewId="0">
      <selection activeCell="C5" sqref="C5"/>
    </sheetView>
  </sheetViews>
  <sheetFormatPr defaultRowHeight="14.4" x14ac:dyDescent="0.3"/>
  <sheetData>
    <row r="4" spans="1:3" x14ac:dyDescent="0.3">
      <c r="A4" s="1" t="s">
        <v>45</v>
      </c>
      <c r="B4" s="1" t="s">
        <v>1</v>
      </c>
      <c r="C4" s="1" t="s">
        <v>116</v>
      </c>
    </row>
    <row r="5" spans="1:3" x14ac:dyDescent="0.3">
      <c r="A5" s="2">
        <v>1</v>
      </c>
      <c r="B5" s="2" t="s">
        <v>79</v>
      </c>
      <c r="C5">
        <v>85</v>
      </c>
    </row>
    <row r="6" spans="1:3" x14ac:dyDescent="0.3">
      <c r="A6" s="2">
        <v>2</v>
      </c>
      <c r="B6" s="2" t="s">
        <v>117</v>
      </c>
      <c r="C6">
        <v>72</v>
      </c>
    </row>
    <row r="7" spans="1:3" x14ac:dyDescent="0.3">
      <c r="A7" s="2">
        <v>3</v>
      </c>
      <c r="B7" s="2" t="s">
        <v>118</v>
      </c>
      <c r="C7">
        <v>39</v>
      </c>
    </row>
    <row r="8" spans="1:3" x14ac:dyDescent="0.3">
      <c r="A8" s="2">
        <v>4</v>
      </c>
      <c r="B8" s="2" t="s">
        <v>119</v>
      </c>
      <c r="C8">
        <v>91</v>
      </c>
    </row>
    <row r="9" spans="1:3" x14ac:dyDescent="0.3">
      <c r="A9" s="2">
        <v>5</v>
      </c>
      <c r="B9" s="2" t="s">
        <v>120</v>
      </c>
      <c r="C9">
        <v>28</v>
      </c>
    </row>
    <row r="11" spans="1:3" ht="18" x14ac:dyDescent="0.3">
      <c r="A11" s="16" t="s">
        <v>19</v>
      </c>
    </row>
    <row r="12" spans="1:3" x14ac:dyDescent="0.3">
      <c r="A12" s="17"/>
    </row>
    <row r="13" spans="1:3" x14ac:dyDescent="0.3">
      <c r="A13" s="17" t="s">
        <v>121</v>
      </c>
    </row>
    <row r="14" spans="1:3" x14ac:dyDescent="0.3">
      <c r="A14" s="17" t="s">
        <v>122</v>
      </c>
    </row>
  </sheetData>
  <conditionalFormatting sqref="C5:C9">
    <cfRule type="cellIs" dxfId="3" priority="1" operator="between">
      <formula>"&gt;75"</formula>
      <formula>"&lt;50"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1DB8E-C918-43EB-BC47-0322220E21B8}">
  <dimension ref="A5:B16"/>
  <sheetViews>
    <sheetView tabSelected="1" workbookViewId="0">
      <selection activeCell="A5" sqref="A5"/>
    </sheetView>
  </sheetViews>
  <sheetFormatPr defaultRowHeight="14.4" x14ac:dyDescent="0.3"/>
  <cols>
    <col min="1" max="1" width="10.33203125" customWidth="1"/>
  </cols>
  <sheetData>
    <row r="5" spans="1:2" ht="28.8" x14ac:dyDescent="0.3">
      <c r="A5" s="1" t="s">
        <v>74</v>
      </c>
      <c r="B5" s="1" t="s">
        <v>3</v>
      </c>
    </row>
    <row r="6" spans="1:2" x14ac:dyDescent="0.3">
      <c r="A6" s="2" t="s">
        <v>123</v>
      </c>
      <c r="B6" s="2">
        <v>28000</v>
      </c>
    </row>
    <row r="7" spans="1:2" x14ac:dyDescent="0.3">
      <c r="A7" s="2" t="s">
        <v>124</v>
      </c>
      <c r="B7" s="2">
        <v>34000</v>
      </c>
    </row>
    <row r="8" spans="1:2" x14ac:dyDescent="0.3">
      <c r="A8" s="2" t="s">
        <v>125</v>
      </c>
      <c r="B8" s="2">
        <v>51000</v>
      </c>
    </row>
    <row r="9" spans="1:2" x14ac:dyDescent="0.3">
      <c r="A9" s="2" t="s">
        <v>126</v>
      </c>
      <c r="B9" s="2">
        <v>47000</v>
      </c>
    </row>
    <row r="10" spans="1:2" x14ac:dyDescent="0.3">
      <c r="A10" s="2" t="s">
        <v>127</v>
      </c>
      <c r="B10" s="2">
        <v>29000</v>
      </c>
    </row>
    <row r="12" spans="1:2" ht="18" x14ac:dyDescent="0.3">
      <c r="A12" s="16" t="s">
        <v>19</v>
      </c>
    </row>
    <row r="13" spans="1:2" x14ac:dyDescent="0.3">
      <c r="A13" s="17"/>
    </row>
    <row r="14" spans="1:2" x14ac:dyDescent="0.3">
      <c r="A14" s="17" t="s">
        <v>128</v>
      </c>
    </row>
    <row r="15" spans="1:2" x14ac:dyDescent="0.3">
      <c r="A15" s="17" t="s">
        <v>129</v>
      </c>
    </row>
    <row r="16" spans="1:2" x14ac:dyDescent="0.3">
      <c r="A16" s="17" t="s">
        <v>130</v>
      </c>
    </row>
  </sheetData>
  <conditionalFormatting sqref="B6">
    <cfRule type="cellIs" dxfId="2" priority="2" operator="greaterThan">
      <formula>"&gt;50000"</formula>
    </cfRule>
  </conditionalFormatting>
  <conditionalFormatting sqref="B6:B10">
    <cfRule type="cellIs" dxfId="0" priority="1" operator="greaterThan">
      <formula>"&gt;50000"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 1</vt:lpstr>
      <vt:lpstr>Task 2</vt:lpstr>
      <vt:lpstr>Task 3</vt:lpstr>
      <vt:lpstr>Task 4</vt:lpstr>
      <vt:lpstr>Task 5</vt:lpstr>
      <vt:lpstr>Task 6</vt:lpstr>
      <vt:lpstr>Task 7</vt:lpstr>
      <vt:lpstr>Task 8</vt:lpstr>
      <vt:lpstr>Task 9</vt:lpstr>
      <vt:lpstr>Task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2026-07-24T19:12:54Z</dcterms:created>
  <dcterms:modified xsi:type="dcterms:W3CDTF">2026-07-24T20:45:42Z</dcterms:modified>
</cp:coreProperties>
</file>