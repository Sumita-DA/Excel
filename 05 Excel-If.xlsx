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2_ncr:500000_{13F1DEAE-D2B0-4CB2-BC5A-C686AA96B811}" xr6:coauthVersionLast="31" xr6:coauthVersionMax="31" xr10:uidLastSave="{00000000-0000-0000-0000-000000000000}"/>
  <bookViews>
    <workbookView xWindow="0" yWindow="0" windowWidth="23040" windowHeight="9072" activeTab="9" xr2:uid="{E0DA835A-6736-4578-80FC-347CF5133095}"/>
  </bookViews>
  <sheets>
    <sheet name="Task 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0" l="1"/>
  <c r="D6" i="10"/>
  <c r="D7" i="10"/>
  <c r="D4" i="10"/>
  <c r="C6" i="9"/>
  <c r="C7" i="9"/>
  <c r="C8" i="9"/>
  <c r="C5" i="9"/>
  <c r="C6" i="8"/>
  <c r="C7" i="8"/>
  <c r="C5" i="8"/>
  <c r="C4" i="8"/>
  <c r="D6" i="7"/>
  <c r="D7" i="7"/>
  <c r="D8" i="7"/>
  <c r="D5" i="7"/>
  <c r="D5" i="6"/>
  <c r="D6" i="6"/>
  <c r="D7" i="6"/>
  <c r="D4" i="6"/>
  <c r="D5" i="5"/>
  <c r="D6" i="5"/>
  <c r="D7" i="5"/>
  <c r="D4" i="5"/>
  <c r="D5" i="4"/>
  <c r="D6" i="4"/>
  <c r="D7" i="4"/>
  <c r="D4" i="4"/>
  <c r="C5" i="3"/>
  <c r="C6" i="3"/>
  <c r="C7" i="3"/>
  <c r="C8" i="3"/>
  <c r="C4" i="3"/>
  <c r="C5" i="2"/>
  <c r="C6" i="2"/>
  <c r="C7" i="2"/>
  <c r="C4" i="2"/>
  <c r="D5" i="1"/>
  <c r="D6" i="1"/>
  <c r="D7" i="1"/>
  <c r="D8" i="1"/>
  <c r="D4" i="1"/>
</calcChain>
</file>

<file path=xl/sharedStrings.xml><?xml version="1.0" encoding="utf-8"?>
<sst xmlns="http://schemas.openxmlformats.org/spreadsheetml/2006/main" count="110" uniqueCount="65">
  <si>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</si>
  <si>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</si>
  <si>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</si>
  <si>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</si>
  <si>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</si>
  <si>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</si>
  <si>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</si>
  <si>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</si>
  <si>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</si>
  <si>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</t>
  </si>
  <si>
    <t>If Marks ≥ 40 → Pass</t>
  </si>
  <si>
    <t>Else → Fail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</si>
  <si>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</si>
  <si>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</si>
  <si>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</si>
  <si>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</si>
  <si>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</si>
  <si>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</si>
  <si>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</si>
  <si>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</si>
  <si>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</si>
  <si>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Grade</t>
  </si>
  <si>
    <t>≥ 75 → A</t>
  </si>
  <si>
    <t>≥ 60 → B</t>
  </si>
  <si>
    <t>≥ 40 → C</t>
  </si>
  <si>
    <t>&lt; 40 → Fail</t>
  </si>
  <si>
    <t>Name</t>
  </si>
  <si>
    <t>Age</t>
  </si>
  <si>
    <t>Experience (Years)</t>
  </si>
  <si>
    <t>Eligible</t>
  </si>
  <si>
    <t>Age ≥ 21 AND Experience ≥ 1 → Eligible</t>
  </si>
  <si>
    <t>Attendance %</t>
  </si>
  <si>
    <t>Assignment Submitted</t>
  </si>
  <si>
    <t>Yes</t>
  </si>
  <si>
    <t>No</t>
  </si>
  <si>
    <t>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</si>
  <si>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</si>
  <si>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</si>
  <si>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</si>
  <si>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</si>
  <si>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</si>
  <si>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</si>
  <si>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</si>
  <si>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</si>
  <si>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Applicant</t>
  </si>
  <si>
    <t>CIBIL Score</t>
  </si>
  <si>
    <t>Loan Status</t>
  </si>
  <si>
    <t>Salary ≥ 40000 OR CIBIL ≥ 700</t>
  </si>
  <si>
    <t>Present</t>
  </si>
  <si>
    <t>Status</t>
  </si>
  <si>
    <t>If NOT Present → Absent</t>
  </si>
  <si>
    <t>Else → Present</t>
  </si>
  <si>
    <t>Number 1</t>
  </si>
  <si>
    <t>Number 2</t>
  </si>
  <si>
    <t>Divide Number 1 by Number 2</t>
  </si>
  <si>
    <t>If error → show "Invalid"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</si>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</sst>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F29B-6B94-483C-B0A1-264502725841}">
  <dimension ref="A3:D13"/>
  <sheetViews>
    <sheetView workbookViewId="0">
      <selection activeCell="D9" sqref="D9"/>
    </sheetView>
  </sheetViews>
  <sheetFormatPr defaultRowHeight="14.4" x14ac:dyDescent="0.3"/>
  <sheetData>
    <row r="3" spans="1:4" ht="28.8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>
        <v>1</v>
      </c>
      <c r="B4" s="2" t="s">
        <v>4</v>
      </c>
      <c r="C4" s="2">
        <v>78</v>
      </c>
      <c r="D4" s="2" t="str">
        <f>IF(C4&gt;=40,"Pass","Fail")</f>
        <v>Pass</v>
      </c>
    </row>
    <row r="5" spans="1:4" x14ac:dyDescent="0.3">
      <c r="A5" s="2">
        <v>2</v>
      </c>
      <c r="B5" s="2" t="s">
        <v>5</v>
      </c>
      <c r="C5" s="2">
        <v>35</v>
      </c>
      <c r="D5" s="2" t="str">
        <f t="shared" ref="D5:D8" si="0">IF(C5&gt;=40,"Pass","Fail")</f>
        <v>Fail</v>
      </c>
    </row>
    <row r="6" spans="1:4" x14ac:dyDescent="0.3">
      <c r="A6" s="2">
        <v>3</v>
      </c>
      <c r="B6" s="2" t="s">
        <v>6</v>
      </c>
      <c r="C6" s="2">
        <v>62</v>
      </c>
      <c r="D6" s="2" t="str">
        <f t="shared" si="0"/>
        <v>Pass</v>
      </c>
    </row>
    <row r="7" spans="1:4" x14ac:dyDescent="0.3">
      <c r="A7" s="5">
        <v>4</v>
      </c>
      <c r="B7" s="5" t="s">
        <v>7</v>
      </c>
      <c r="C7" s="5">
        <v>40</v>
      </c>
      <c r="D7" s="2" t="str">
        <f t="shared" si="0"/>
        <v>Pass</v>
      </c>
    </row>
    <row r="8" spans="1:4" x14ac:dyDescent="0.3">
      <c r="A8" s="2">
        <v>5</v>
      </c>
      <c r="B8" s="2" t="s">
        <v>8</v>
      </c>
      <c r="C8" s="2">
        <v>28</v>
      </c>
      <c r="D8" s="2" t="str">
        <f t="shared" si="0"/>
        <v>Fail</v>
      </c>
    </row>
    <row r="10" spans="1:4" ht="18" x14ac:dyDescent="0.3">
      <c r="A10" s="3" t="s">
        <v>9</v>
      </c>
    </row>
    <row r="11" spans="1:4" x14ac:dyDescent="0.3">
      <c r="A11" s="4"/>
    </row>
    <row r="12" spans="1:4" x14ac:dyDescent="0.3">
      <c r="A12" s="4" t="s">
        <v>10</v>
      </c>
    </row>
    <row r="13" spans="1:4" x14ac:dyDescent="0.3">
      <c r="A13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4887-637A-4CD5-89F1-F1CCB03990AD}">
  <dimension ref="A3:C13"/>
  <sheetViews>
    <sheetView workbookViewId="0">
      <selection activeCell="A7" sqref="A7"/>
    </sheetView>
  </sheetViews>
  <sheetFormatPr defaultRowHeight="14.4" x14ac:dyDescent="0.3"/>
  <sheetData>
    <row r="3" spans="1:3" ht="28.8" x14ac:dyDescent="0.3">
      <c r="A3" s="1" t="s">
        <v>12</v>
      </c>
      <c r="B3" s="1" t="s">
        <v>13</v>
      </c>
      <c r="C3" s="1" t="s">
        <v>14</v>
      </c>
    </row>
    <row r="4" spans="1:3" x14ac:dyDescent="0.3">
      <c r="A4" s="2" t="s">
        <v>15</v>
      </c>
      <c r="B4" s="2">
        <v>28000</v>
      </c>
      <c r="C4" s="2" t="str">
        <f>IF(B4&gt;=40000,"Bonus","No Bonus")</f>
        <v>No Bonus</v>
      </c>
    </row>
    <row r="5" spans="1:3" x14ac:dyDescent="0.3">
      <c r="A5" s="2" t="s">
        <v>16</v>
      </c>
      <c r="B5" s="2">
        <v>45000</v>
      </c>
      <c r="C5" s="2" t="str">
        <f t="shared" ref="C5:C7" si="0">IF(B5&gt;=40000,"Bonus","No Bonus")</f>
        <v>Bonus</v>
      </c>
    </row>
    <row r="6" spans="1:3" x14ac:dyDescent="0.3">
      <c r="A6" s="2" t="s">
        <v>17</v>
      </c>
      <c r="B6" s="2">
        <v>52000</v>
      </c>
      <c r="C6" s="2" t="str">
        <f t="shared" si="0"/>
        <v>Bonus</v>
      </c>
    </row>
    <row r="7" spans="1:3" x14ac:dyDescent="0.3">
      <c r="A7" s="2" t="s">
        <v>18</v>
      </c>
      <c r="B7" s="2">
        <v>30000</v>
      </c>
      <c r="C7" s="2" t="str">
        <f t="shared" si="0"/>
        <v>No Bonus</v>
      </c>
    </row>
    <row r="10" spans="1:3" ht="18" x14ac:dyDescent="0.3">
      <c r="A10" s="3" t="s">
        <v>9</v>
      </c>
    </row>
    <row r="11" spans="1:3" x14ac:dyDescent="0.3">
      <c r="A11" s="4"/>
    </row>
    <row r="12" spans="1:3" x14ac:dyDescent="0.3">
      <c r="A12" s="4" t="s">
        <v>19</v>
      </c>
    </row>
    <row r="13" spans="1:3" x14ac:dyDescent="0.3">
      <c r="A13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D415-EC7F-4BFD-B682-537399E7A7A9}">
  <dimension ref="A3:C16"/>
  <sheetViews>
    <sheetView workbookViewId="0">
      <selection activeCell="A3" sqref="A3"/>
    </sheetView>
  </sheetViews>
  <sheetFormatPr defaultRowHeight="14.4" x14ac:dyDescent="0.3"/>
  <sheetData>
    <row r="3" spans="1:3" ht="28.8" x14ac:dyDescent="0.3">
      <c r="A3" s="1" t="s">
        <v>1</v>
      </c>
      <c r="B3" s="1" t="s">
        <v>2</v>
      </c>
      <c r="C3" s="1" t="s">
        <v>21</v>
      </c>
    </row>
    <row r="4" spans="1:3" x14ac:dyDescent="0.3">
      <c r="A4" s="2" t="s">
        <v>4</v>
      </c>
      <c r="B4" s="2">
        <v>82</v>
      </c>
      <c r="C4" s="2" t="str">
        <f>IF(B4&gt;=75,"A", IF(B4&gt;=60,"B", IF(B4&gt;=40,"C","Fail")))</f>
        <v>A</v>
      </c>
    </row>
    <row r="5" spans="1:3" x14ac:dyDescent="0.3">
      <c r="A5" s="2" t="s">
        <v>5</v>
      </c>
      <c r="B5" s="2">
        <v>67</v>
      </c>
      <c r="C5" s="2" t="str">
        <f t="shared" ref="C5:C8" si="0">IF(B5&gt;=75,"A", IF(B5&gt;=60,"B", IF(B5&gt;=40,"C","Fail")))</f>
        <v>B</v>
      </c>
    </row>
    <row r="6" spans="1:3" x14ac:dyDescent="0.3">
      <c r="A6" s="2" t="s">
        <v>6</v>
      </c>
      <c r="B6" s="2">
        <v>45</v>
      </c>
      <c r="C6" s="2" t="str">
        <f t="shared" si="0"/>
        <v>C</v>
      </c>
    </row>
    <row r="7" spans="1:3" x14ac:dyDescent="0.3">
      <c r="A7" s="2" t="s">
        <v>7</v>
      </c>
      <c r="B7" s="2">
        <v>33</v>
      </c>
      <c r="C7" s="2" t="str">
        <f t="shared" si="0"/>
        <v>Fail</v>
      </c>
    </row>
    <row r="8" spans="1:3" x14ac:dyDescent="0.3">
      <c r="A8" s="2" t="s">
        <v>8</v>
      </c>
      <c r="B8" s="2">
        <v>90</v>
      </c>
      <c r="C8" s="2" t="str">
        <f t="shared" si="0"/>
        <v>A</v>
      </c>
    </row>
    <row r="11" spans="1:3" ht="18" x14ac:dyDescent="0.3">
      <c r="A11" s="3" t="s">
        <v>9</v>
      </c>
    </row>
    <row r="12" spans="1:3" x14ac:dyDescent="0.3">
      <c r="A12" s="4"/>
    </row>
    <row r="13" spans="1:3" x14ac:dyDescent="0.3">
      <c r="A13" s="4" t="s">
        <v>22</v>
      </c>
    </row>
    <row r="14" spans="1:3" x14ac:dyDescent="0.3">
      <c r="A14" s="4" t="s">
        <v>23</v>
      </c>
    </row>
    <row r="15" spans="1:3" x14ac:dyDescent="0.3">
      <c r="A15" s="4" t="s">
        <v>24</v>
      </c>
    </row>
    <row r="16" spans="1:3" x14ac:dyDescent="0.3">
      <c r="A16" s="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4F11-0B40-4BCE-93AC-64CAC493995E}">
  <dimension ref="A3:D12"/>
  <sheetViews>
    <sheetView workbookViewId="0">
      <selection activeCell="D4" sqref="D4"/>
    </sheetView>
  </sheetViews>
  <sheetFormatPr defaultRowHeight="14.4" x14ac:dyDescent="0.3"/>
  <cols>
    <col min="1" max="1" width="7.6640625" customWidth="1"/>
    <col min="2" max="2" width="4.21875" bestFit="1" customWidth="1"/>
    <col min="3" max="3" width="10.109375" bestFit="1" customWidth="1"/>
    <col min="4" max="4" width="6.88671875" bestFit="1" customWidth="1"/>
  </cols>
  <sheetData>
    <row r="3" spans="1:4" ht="43.2" x14ac:dyDescent="0.3">
      <c r="A3" s="1" t="s">
        <v>26</v>
      </c>
      <c r="B3" s="1" t="s">
        <v>27</v>
      </c>
      <c r="C3" s="1" t="s">
        <v>28</v>
      </c>
      <c r="D3" s="1" t="s">
        <v>29</v>
      </c>
    </row>
    <row r="4" spans="1:4" x14ac:dyDescent="0.3">
      <c r="A4" s="2" t="s">
        <v>15</v>
      </c>
      <c r="B4" s="2">
        <v>25</v>
      </c>
      <c r="C4" s="2">
        <v>2</v>
      </c>
      <c r="D4" s="2" t="str">
        <f>IF(AND(B4&gt;=21,C4&gt;=1),"Eligible","Not Eligible")</f>
        <v>Eligible</v>
      </c>
    </row>
    <row r="5" spans="1:4" x14ac:dyDescent="0.3">
      <c r="A5" s="2" t="s">
        <v>16</v>
      </c>
      <c r="B5" s="2">
        <v>20</v>
      </c>
      <c r="C5" s="2">
        <v>1</v>
      </c>
      <c r="D5" s="2" t="str">
        <f t="shared" ref="D5:D7" si="0">IF(AND(B5&gt;=21,C5&gt;=1),"Eligible","Not Eligible")</f>
        <v>Not Eligible</v>
      </c>
    </row>
    <row r="6" spans="1:4" x14ac:dyDescent="0.3">
      <c r="A6" s="2" t="s">
        <v>17</v>
      </c>
      <c r="B6" s="2">
        <v>30</v>
      </c>
      <c r="C6" s="2">
        <v>5</v>
      </c>
      <c r="D6" s="2" t="str">
        <f t="shared" si="0"/>
        <v>Eligible</v>
      </c>
    </row>
    <row r="7" spans="1:4" x14ac:dyDescent="0.3">
      <c r="A7" s="2" t="s">
        <v>18</v>
      </c>
      <c r="B7" s="2">
        <v>22</v>
      </c>
      <c r="C7" s="2">
        <v>0</v>
      </c>
      <c r="D7" s="2" t="str">
        <f t="shared" si="0"/>
        <v>Not Eligible</v>
      </c>
    </row>
    <row r="10" spans="1:4" ht="18" x14ac:dyDescent="0.3">
      <c r="A10" s="3" t="s">
        <v>9</v>
      </c>
    </row>
    <row r="11" spans="1:4" x14ac:dyDescent="0.3">
      <c r="A11" s="4"/>
    </row>
    <row r="12" spans="1:4" x14ac:dyDescent="0.3">
      <c r="A12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0281-C519-4D35-B5D9-CC5E4084B3EC}">
  <dimension ref="A3:D10"/>
  <sheetViews>
    <sheetView workbookViewId="0">
      <selection activeCell="D4" sqref="D4"/>
    </sheetView>
  </sheetViews>
  <sheetFormatPr defaultRowHeight="14.4" x14ac:dyDescent="0.3"/>
  <cols>
    <col min="2" max="2" width="12.6640625" bestFit="1" customWidth="1"/>
    <col min="3" max="3" width="10.77734375" bestFit="1" customWidth="1"/>
    <col min="4" max="4" width="10.21875" bestFit="1" customWidth="1"/>
  </cols>
  <sheetData>
    <row r="3" spans="1:4" ht="57.6" x14ac:dyDescent="0.3">
      <c r="A3" s="1" t="s">
        <v>1</v>
      </c>
      <c r="B3" s="1" t="s">
        <v>31</v>
      </c>
      <c r="C3" s="1" t="s">
        <v>32</v>
      </c>
      <c r="D3" s="1" t="s">
        <v>29</v>
      </c>
    </row>
    <row r="4" spans="1:4" x14ac:dyDescent="0.3">
      <c r="A4" s="2" t="s">
        <v>4</v>
      </c>
      <c r="B4" s="2">
        <v>85</v>
      </c>
      <c r="C4" s="2" t="s">
        <v>33</v>
      </c>
      <c r="D4" s="2" t="str">
        <f>IF(AND(B4&gt;=75,C4="Yes"),"Eligible","Not Eligible")</f>
        <v>Eligible</v>
      </c>
    </row>
    <row r="5" spans="1:4" x14ac:dyDescent="0.3">
      <c r="A5" s="2" t="s">
        <v>5</v>
      </c>
      <c r="B5" s="2">
        <v>72</v>
      </c>
      <c r="C5" s="2" t="s">
        <v>33</v>
      </c>
      <c r="D5" s="2" t="str">
        <f t="shared" ref="D5:D7" si="0">IF(AND(B5&gt;=75,C5="Yes"),"Eligible","Not Eligible")</f>
        <v>Not Eligible</v>
      </c>
    </row>
    <row r="6" spans="1:4" x14ac:dyDescent="0.3">
      <c r="A6" s="2" t="s">
        <v>6</v>
      </c>
      <c r="B6" s="2">
        <v>90</v>
      </c>
      <c r="C6" s="2" t="s">
        <v>34</v>
      </c>
      <c r="D6" s="2" t="str">
        <f t="shared" si="0"/>
        <v>Not Eligible</v>
      </c>
    </row>
    <row r="7" spans="1:4" x14ac:dyDescent="0.3">
      <c r="A7" s="2" t="s">
        <v>7</v>
      </c>
      <c r="B7" s="2">
        <v>80</v>
      </c>
      <c r="C7" s="2" t="s">
        <v>33</v>
      </c>
      <c r="D7" s="2" t="str">
        <f t="shared" si="0"/>
        <v>Eligible</v>
      </c>
    </row>
    <row r="10" spans="1:4" x14ac:dyDescent="0.3">
      <c r="A10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3E46-9263-47A9-86DD-4271BC6EED6F}">
  <dimension ref="A3:D11"/>
  <sheetViews>
    <sheetView workbookViewId="0">
      <selection activeCell="D6" sqref="D6"/>
    </sheetView>
  </sheetViews>
  <sheetFormatPr defaultRowHeight="14.4" x14ac:dyDescent="0.3"/>
  <cols>
    <col min="4" max="4" width="11" bestFit="1" customWidth="1"/>
  </cols>
  <sheetData>
    <row r="3" spans="1:4" ht="28.8" x14ac:dyDescent="0.3">
      <c r="A3" s="1" t="s">
        <v>36</v>
      </c>
      <c r="B3" s="1" t="s">
        <v>37</v>
      </c>
      <c r="C3" s="1" t="s">
        <v>38</v>
      </c>
      <c r="D3" s="1" t="s">
        <v>39</v>
      </c>
    </row>
    <row r="4" spans="1:4" x14ac:dyDescent="0.3">
      <c r="A4" s="2" t="s">
        <v>40</v>
      </c>
      <c r="B4" s="2">
        <v>9000</v>
      </c>
      <c r="C4" s="2" t="s">
        <v>34</v>
      </c>
      <c r="D4" s="2" t="str">
        <f>IF(OR(B4&gt;=10000,C4="Yes"),"Discount","No Discount")</f>
        <v>No Discount</v>
      </c>
    </row>
    <row r="5" spans="1:4" ht="28.8" x14ac:dyDescent="0.3">
      <c r="A5" s="2" t="s">
        <v>41</v>
      </c>
      <c r="B5" s="2">
        <v>12000</v>
      </c>
      <c r="C5" s="2" t="s">
        <v>34</v>
      </c>
      <c r="D5" s="2" t="str">
        <f t="shared" ref="D5:D7" si="0">IF(OR(B5&gt;=10000,C5="Yes"),"Discount","No Discount")</f>
        <v>Discount</v>
      </c>
    </row>
    <row r="6" spans="1:4" ht="28.8" x14ac:dyDescent="0.3">
      <c r="A6" s="2" t="s">
        <v>6</v>
      </c>
      <c r="B6" s="2">
        <v>4000</v>
      </c>
      <c r="C6" s="2" t="s">
        <v>33</v>
      </c>
      <c r="D6" s="2" t="str">
        <f t="shared" si="0"/>
        <v>Discount</v>
      </c>
    </row>
    <row r="7" spans="1:4" ht="28.8" x14ac:dyDescent="0.3">
      <c r="A7" s="2" t="s">
        <v>42</v>
      </c>
      <c r="B7" s="2">
        <v>3000</v>
      </c>
      <c r="C7" s="2" t="s">
        <v>34</v>
      </c>
      <c r="D7" s="2" t="str">
        <f t="shared" si="0"/>
        <v>No Discount</v>
      </c>
    </row>
    <row r="9" spans="1:4" ht="18" x14ac:dyDescent="0.3">
      <c r="A9" s="3" t="s">
        <v>9</v>
      </c>
    </row>
    <row r="10" spans="1:4" x14ac:dyDescent="0.3">
      <c r="A10" s="4"/>
    </row>
    <row r="11" spans="1:4" x14ac:dyDescent="0.3">
      <c r="A11" s="4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6E75-081C-40BA-AFFD-F864ECF6958D}">
  <dimension ref="A4:D12"/>
  <sheetViews>
    <sheetView workbookViewId="0">
      <selection activeCell="I28" sqref="I28"/>
    </sheetView>
  </sheetViews>
  <sheetFormatPr defaultRowHeight="14.4" x14ac:dyDescent="0.3"/>
  <sheetData>
    <row r="4" spans="1:4" ht="28.8" x14ac:dyDescent="0.3">
      <c r="A4" s="1" t="s">
        <v>44</v>
      </c>
      <c r="B4" s="1" t="s">
        <v>13</v>
      </c>
      <c r="C4" s="1" t="s">
        <v>45</v>
      </c>
      <c r="D4" s="1" t="s">
        <v>46</v>
      </c>
    </row>
    <row r="5" spans="1:4" x14ac:dyDescent="0.3">
      <c r="A5" s="2" t="s">
        <v>15</v>
      </c>
      <c r="B5" s="2">
        <v>35000</v>
      </c>
      <c r="C5" s="2">
        <v>720</v>
      </c>
      <c r="D5" s="2" t="str">
        <f>IF(OR(B5&gt;=40000,C5&gt;=700), "Approved", "Rejected")</f>
        <v>Approved</v>
      </c>
    </row>
    <row r="6" spans="1:4" x14ac:dyDescent="0.3">
      <c r="A6" s="2" t="s">
        <v>16</v>
      </c>
      <c r="B6" s="2">
        <v>25000</v>
      </c>
      <c r="C6" s="2">
        <v>680</v>
      </c>
      <c r="D6" s="2" t="str">
        <f t="shared" ref="D6:D8" si="0">IF(OR(B6&gt;=40000,C6&gt;=700), "Approved", "Rejected")</f>
        <v>Rejected</v>
      </c>
    </row>
    <row r="7" spans="1:4" x14ac:dyDescent="0.3">
      <c r="A7" s="2" t="s">
        <v>17</v>
      </c>
      <c r="B7" s="2">
        <v>50000</v>
      </c>
      <c r="C7" s="2">
        <v>650</v>
      </c>
      <c r="D7" s="2" t="str">
        <f t="shared" si="0"/>
        <v>Approved</v>
      </c>
    </row>
    <row r="8" spans="1:4" x14ac:dyDescent="0.3">
      <c r="A8" s="2" t="s">
        <v>18</v>
      </c>
      <c r="B8" s="2">
        <v>20000</v>
      </c>
      <c r="C8" s="2">
        <v>600</v>
      </c>
      <c r="D8" s="2" t="str">
        <f t="shared" si="0"/>
        <v>Rejected</v>
      </c>
    </row>
    <row r="10" spans="1:4" ht="18" x14ac:dyDescent="0.3">
      <c r="A10" s="3" t="s">
        <v>9</v>
      </c>
    </row>
    <row r="11" spans="1:4" x14ac:dyDescent="0.3">
      <c r="A11" s="4"/>
    </row>
    <row r="12" spans="1:4" x14ac:dyDescent="0.3">
      <c r="A12" s="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73ED-57A1-480D-9C71-FA7D1CD5666D}">
  <dimension ref="A3:C12"/>
  <sheetViews>
    <sheetView workbookViewId="0">
      <selection activeCell="C5" sqref="C5"/>
    </sheetView>
  </sheetViews>
  <sheetFormatPr defaultRowHeight="14.4" x14ac:dyDescent="0.3"/>
  <sheetData>
    <row r="3" spans="1:3" x14ac:dyDescent="0.3">
      <c r="A3" s="1" t="s">
        <v>26</v>
      </c>
      <c r="B3" s="1" t="s">
        <v>48</v>
      </c>
      <c r="C3" s="1" t="s">
        <v>49</v>
      </c>
    </row>
    <row r="4" spans="1:3" x14ac:dyDescent="0.3">
      <c r="A4" s="2" t="s">
        <v>4</v>
      </c>
      <c r="B4" s="2" t="b">
        <v>1</v>
      </c>
      <c r="C4" s="2" t="str">
        <f>IF(NOT(B4),"Absent","Present")</f>
        <v>Present</v>
      </c>
    </row>
    <row r="5" spans="1:3" x14ac:dyDescent="0.3">
      <c r="A5" s="2" t="s">
        <v>5</v>
      </c>
      <c r="B5" s="2" t="b">
        <v>0</v>
      </c>
      <c r="C5" s="2" t="str">
        <f>IF(NOT(B5),"Absent","Present")</f>
        <v>Absent</v>
      </c>
    </row>
    <row r="6" spans="1:3" x14ac:dyDescent="0.3">
      <c r="A6" s="2" t="s">
        <v>6</v>
      </c>
      <c r="B6" s="2" t="b">
        <v>1</v>
      </c>
      <c r="C6" s="2" t="str">
        <f t="shared" ref="C6:C7" si="0">IF(NOT(B6),"Absent","Present")</f>
        <v>Present</v>
      </c>
    </row>
    <row r="7" spans="1:3" x14ac:dyDescent="0.3">
      <c r="A7" s="2" t="s">
        <v>7</v>
      </c>
      <c r="B7" s="2" t="b">
        <v>0</v>
      </c>
      <c r="C7" s="2" t="str">
        <f t="shared" si="0"/>
        <v>Absent</v>
      </c>
    </row>
    <row r="9" spans="1:3" ht="18" x14ac:dyDescent="0.3">
      <c r="A9" s="3" t="s">
        <v>9</v>
      </c>
    </row>
    <row r="10" spans="1:3" x14ac:dyDescent="0.3">
      <c r="A10" s="4"/>
    </row>
    <row r="11" spans="1:3" x14ac:dyDescent="0.3">
      <c r="A11" s="4" t="s">
        <v>50</v>
      </c>
    </row>
    <row r="12" spans="1:3" x14ac:dyDescent="0.3">
      <c r="A12" s="4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E8D1-F9D4-4142-885D-0D4814F27F21}">
  <dimension ref="A4:C13"/>
  <sheetViews>
    <sheetView workbookViewId="0">
      <selection activeCell="C5" sqref="C5"/>
    </sheetView>
  </sheetViews>
  <sheetFormatPr defaultRowHeight="14.4" x14ac:dyDescent="0.3"/>
  <sheetData>
    <row r="4" spans="1:3" ht="28.8" x14ac:dyDescent="0.3">
      <c r="A4" s="1" t="s">
        <v>52</v>
      </c>
      <c r="B4" s="1" t="s">
        <v>53</v>
      </c>
      <c r="C4" s="1" t="s">
        <v>3</v>
      </c>
    </row>
    <row r="5" spans="1:3" x14ac:dyDescent="0.3">
      <c r="A5" s="2">
        <v>10</v>
      </c>
      <c r="B5" s="2">
        <v>2</v>
      </c>
      <c r="C5" s="2">
        <f>IFERROR(A5/B5,"Invalid")</f>
        <v>5</v>
      </c>
    </row>
    <row r="6" spans="1:3" x14ac:dyDescent="0.3">
      <c r="A6" s="2">
        <v>15</v>
      </c>
      <c r="B6" s="2">
        <v>0</v>
      </c>
      <c r="C6" s="2" t="str">
        <f t="shared" ref="C6:C8" si="0">IFERROR(A6/B6,"Invalid")</f>
        <v>Invalid</v>
      </c>
    </row>
    <row r="7" spans="1:3" x14ac:dyDescent="0.3">
      <c r="A7" s="2">
        <v>20</v>
      </c>
      <c r="B7" s="2">
        <v>5</v>
      </c>
      <c r="C7" s="2">
        <f t="shared" si="0"/>
        <v>4</v>
      </c>
    </row>
    <row r="8" spans="1:3" x14ac:dyDescent="0.3">
      <c r="A8" s="2">
        <v>8</v>
      </c>
      <c r="B8" s="2">
        <v>0</v>
      </c>
      <c r="C8" s="2" t="str">
        <f t="shared" si="0"/>
        <v>Invalid</v>
      </c>
    </row>
    <row r="10" spans="1:3" ht="18" x14ac:dyDescent="0.3">
      <c r="A10" s="3" t="s">
        <v>9</v>
      </c>
    </row>
    <row r="11" spans="1:3" x14ac:dyDescent="0.3">
      <c r="A11" s="4"/>
    </row>
    <row r="12" spans="1:3" x14ac:dyDescent="0.3">
      <c r="A12" s="4" t="s">
        <v>54</v>
      </c>
    </row>
    <row r="13" spans="1:3" x14ac:dyDescent="0.3">
      <c r="A13" s="4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A3D0-F1EB-49F4-9874-4F922D254C04}">
  <dimension ref="A3:D13"/>
  <sheetViews>
    <sheetView tabSelected="1" workbookViewId="0">
      <selection activeCell="A2" sqref="A2"/>
    </sheetView>
  </sheetViews>
  <sheetFormatPr defaultRowHeight="14.4" x14ac:dyDescent="0.3"/>
  <cols>
    <col min="1" max="1" width="9.5546875" customWidth="1"/>
    <col min="3" max="3" width="10.77734375" bestFit="1" customWidth="1"/>
    <col min="4" max="4" width="17.77734375" bestFit="1" customWidth="1"/>
  </cols>
  <sheetData>
    <row r="3" spans="1:4" ht="28.8" x14ac:dyDescent="0.3">
      <c r="A3" s="1" t="s">
        <v>12</v>
      </c>
      <c r="B3" s="1" t="s">
        <v>56</v>
      </c>
      <c r="C3" s="1" t="s">
        <v>31</v>
      </c>
      <c r="D3" s="1" t="s">
        <v>57</v>
      </c>
    </row>
    <row r="4" spans="1:4" x14ac:dyDescent="0.3">
      <c r="A4" s="2" t="s">
        <v>58</v>
      </c>
      <c r="B4" s="2">
        <v>45</v>
      </c>
      <c r="C4" s="2">
        <v>92</v>
      </c>
      <c r="D4" s="2" t="str">
        <f>IF(AND(C4&gt;=90,B4&gt;=40),"Excellent",IF(C4&gt;=80,"Good","Needs Improvement"))</f>
        <v>Excellent</v>
      </c>
    </row>
    <row r="5" spans="1:4" x14ac:dyDescent="0.3">
      <c r="A5" s="2" t="s">
        <v>59</v>
      </c>
      <c r="B5" s="2">
        <v>38</v>
      </c>
      <c r="C5" s="2">
        <v>85</v>
      </c>
      <c r="D5" s="2" t="str">
        <f t="shared" ref="D5:D7" si="0">IF(AND(C5&gt;=90,B5&gt;=40),"Excellent",IF(C5&gt;=80,"Good","Needs Improvement"))</f>
        <v>Good</v>
      </c>
    </row>
    <row r="6" spans="1:4" x14ac:dyDescent="0.3">
      <c r="A6" s="2" t="s">
        <v>60</v>
      </c>
      <c r="B6" s="2">
        <v>50</v>
      </c>
      <c r="C6" s="2">
        <v>95</v>
      </c>
      <c r="D6" s="2" t="str">
        <f t="shared" si="0"/>
        <v>Excellent</v>
      </c>
    </row>
    <row r="7" spans="1:4" x14ac:dyDescent="0.3">
      <c r="A7" s="2" t="s">
        <v>61</v>
      </c>
      <c r="B7" s="2">
        <v>30</v>
      </c>
      <c r="C7" s="2">
        <v>70</v>
      </c>
      <c r="D7" s="2" t="str">
        <f t="shared" si="0"/>
        <v>Needs Improvement</v>
      </c>
    </row>
    <row r="9" spans="1:4" ht="18" x14ac:dyDescent="0.3">
      <c r="A9" s="3" t="s">
        <v>9</v>
      </c>
    </row>
    <row r="10" spans="1:4" x14ac:dyDescent="0.3">
      <c r="A10" s="4"/>
    </row>
    <row r="11" spans="1:4" x14ac:dyDescent="0.3">
      <c r="A11" s="4" t="s">
        <v>62</v>
      </c>
    </row>
    <row r="12" spans="1:4" x14ac:dyDescent="0.3">
      <c r="A12" s="4" t="s">
        <v>63</v>
      </c>
    </row>
    <row r="13" spans="1:4" x14ac:dyDescent="0.3">
      <c r="A13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2026-07-30T10:01:50Z</dcterms:created>
  <dcterms:modified xsi:type="dcterms:W3CDTF">2026-07-30T11:07:21Z</dcterms:modified>
</cp:coreProperties>
</file>