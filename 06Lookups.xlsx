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8\Desktop\"/>
    </mc:Choice>
  </mc:AlternateContent>
  <xr:revisionPtr revIDLastSave="0" documentId="13_ncr:1_{B60998F9-F436-448C-A26E-807C57415273}" xr6:coauthVersionLast="47" xr6:coauthVersionMax="47" xr10:uidLastSave="{00000000-0000-0000-0000-000000000000}"/>
  <bookViews>
    <workbookView xWindow="-110" yWindow="-110" windowWidth="19420" windowHeight="10300" firstSheet="2" activeTab="5" xr2:uid="{92901176-23F0-406A-AA42-102ADE03ACCC}"/>
  </bookViews>
  <sheets>
    <sheet name="Employee_Data" sheetId="1" r:id="rId1"/>
    <sheet name="Department_Bonus" sheetId="2" r:id="rId2"/>
    <sheet name="Search_Input" sheetId="3" r:id="rId3"/>
    <sheet name="VLOOKUP Tasks (1–6)" sheetId="4" r:id="rId4"/>
    <sheet name="HLOOKUP Tasks (7–10)" sheetId="5" r:id="rId5"/>
    <sheet name="XLOOKUP Tasks (11–15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6" l="1"/>
  <c r="B15" i="6"/>
  <c r="B11" i="6"/>
  <c r="B7" i="6"/>
  <c r="B3" i="6"/>
  <c r="B20" i="5"/>
  <c r="B7" i="5"/>
  <c r="B3" i="5"/>
  <c r="B23" i="4"/>
  <c r="B19" i="4"/>
  <c r="B15" i="4"/>
  <c r="B11" i="4"/>
  <c r="B7" i="4"/>
  <c r="B2" i="3"/>
  <c r="B3" i="4" s="1"/>
</calcChain>
</file>

<file path=xl/sharedStrings.xml><?xml version="1.0" encoding="utf-8"?>
<sst xmlns="http://schemas.openxmlformats.org/spreadsheetml/2006/main" count="108" uniqueCount="53">
  <si>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</si>
  <si>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</si>
  <si>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</si>
  <si>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</si>
  <si>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</si>
  <si>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</si>
  <si>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</si>
  <si>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</si>
  <si>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</si>
  <si>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</si>
  <si>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</si>
  <si>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</si>
  <si>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</si>
  <si>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</si>
  <si>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</si>
  <si>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</si>
  <si>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</si>
  <si>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</si>
  <si>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</si>
  <si>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</si>
  <si>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</si>
  <si>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</si>
  <si>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</si>
  <si>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</si>
  <si>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</si>
  <si>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</si>
  <si>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</si>
  <si>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</si>
  <si>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</si>
  <si>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</si>
  <si>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</si>
  <si>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</si>
  <si>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</si>
  <si>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</si>
  <si>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Q1. Find the Name of employee using EmployeeID from Search_Input</t>
  </si>
  <si>
    <t>Q2. Find the Department of employee with ID E103</t>
  </si>
  <si>
    <t>Q3. Find the Salary of employee Neha Singh using VLOOKUP.</t>
  </si>
  <si>
    <t>Q4. Get the Location of employee E107</t>
  </si>
  <si>
    <t>Q5. If EmployeeID is not found, display "Not Found".</t>
  </si>
  <si>
    <t>E112</t>
  </si>
  <si>
    <t>Q6. Find the JoiningYear of employee E101</t>
  </si>
  <si>
    <t>Q7. Find the Bonus % for IT department</t>
  </si>
  <si>
    <t>Q8. Find the Bonus % for Finance department</t>
  </si>
  <si>
    <t>Q9. Calculate Bonus Amount for employee E104
(Bonus Amount = Salary × Bonus %)</t>
  </si>
  <si>
    <t>Bonus Amount</t>
  </si>
  <si>
    <t>Q10. If department is invalid, display "No Bonus Data".</t>
  </si>
  <si>
    <t>Service</t>
  </si>
  <si>
    <t>Q11. Find Salary using EmployeeID</t>
  </si>
  <si>
    <t>Q12. Find Department using Employee Name</t>
  </si>
  <si>
    <t>Q13. Fetch Location of employee Rohit Verma</t>
  </si>
  <si>
    <t>Q14. If EmployeeID = E999, return "Employee Not Found"</t>
  </si>
  <si>
    <t>E999</t>
  </si>
  <si>
    <t>Q15. Find Bonus % using XLOOKUP from Department_Bonus (horizontal lookup).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</si>
</sst>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AF57-1BE0-45E6-8D21-6AB441AEB742}">
  <dimension ref="A1:F9"/>
  <sheetViews>
    <sheetView zoomScale="130" zoomScaleNormal="130" workbookViewId="0">
      <selection activeCell="B4" sqref="B4"/>
    </sheetView>
  </sheetViews>
  <sheetFormatPr defaultColWidth="16.81640625" defaultRowHeight="13" x14ac:dyDescent="0.3"/>
  <cols>
    <col min="1" max="1" width="10.7265625" style="1" bestFit="1" customWidth="1"/>
    <col min="2" max="2" width="11.7265625" style="1" bestFit="1" customWidth="1"/>
    <col min="3" max="3" width="10.90625" style="1" bestFit="1" customWidth="1"/>
    <col min="4" max="4" width="9.08984375" style="1" bestFit="1" customWidth="1"/>
    <col min="5" max="5" width="5.90625" style="1" bestFit="1" customWidth="1"/>
    <col min="6" max="6" width="10.453125" style="1" bestFit="1" customWidth="1"/>
    <col min="7" max="16384" width="16.81640625" style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6" t="s">
        <v>6</v>
      </c>
      <c r="B2" s="6" t="s">
        <v>7</v>
      </c>
      <c r="C2" s="6" t="s">
        <v>8</v>
      </c>
      <c r="D2" s="6" t="s">
        <v>9</v>
      </c>
      <c r="E2" s="6">
        <v>45000</v>
      </c>
      <c r="F2" s="6">
        <v>2019</v>
      </c>
    </row>
    <row r="3" spans="1:6" x14ac:dyDescent="0.3">
      <c r="A3" s="6" t="s">
        <v>10</v>
      </c>
      <c r="B3" s="6" t="s">
        <v>11</v>
      </c>
      <c r="C3" s="6" t="s">
        <v>12</v>
      </c>
      <c r="D3" s="6" t="s">
        <v>13</v>
      </c>
      <c r="E3" s="6">
        <v>52000</v>
      </c>
      <c r="F3" s="6">
        <v>2018</v>
      </c>
    </row>
    <row r="4" spans="1:6" x14ac:dyDescent="0.3">
      <c r="A4" s="6" t="s">
        <v>14</v>
      </c>
      <c r="B4" s="6" t="s">
        <v>15</v>
      </c>
      <c r="C4" s="6" t="s">
        <v>16</v>
      </c>
      <c r="D4" s="6" t="s">
        <v>17</v>
      </c>
      <c r="E4" s="6">
        <v>65000</v>
      </c>
      <c r="F4" s="6">
        <v>2020</v>
      </c>
    </row>
    <row r="5" spans="1:6" x14ac:dyDescent="0.3">
      <c r="A5" s="6" t="s">
        <v>18</v>
      </c>
      <c r="B5" s="6" t="s">
        <v>19</v>
      </c>
      <c r="C5" s="6" t="s">
        <v>20</v>
      </c>
      <c r="D5" s="6" t="s">
        <v>21</v>
      </c>
      <c r="E5" s="6">
        <v>58000</v>
      </c>
      <c r="F5" s="6">
        <v>2017</v>
      </c>
    </row>
    <row r="6" spans="1:6" x14ac:dyDescent="0.3">
      <c r="A6" s="6" t="s">
        <v>22</v>
      </c>
      <c r="B6" s="6" t="s">
        <v>23</v>
      </c>
      <c r="C6" s="6" t="s">
        <v>24</v>
      </c>
      <c r="D6" s="6" t="s">
        <v>9</v>
      </c>
      <c r="E6" s="6">
        <v>48000</v>
      </c>
      <c r="F6" s="6">
        <v>2021</v>
      </c>
    </row>
    <row r="7" spans="1:6" x14ac:dyDescent="0.3">
      <c r="A7" s="6" t="s">
        <v>25</v>
      </c>
      <c r="B7" s="6" t="s">
        <v>26</v>
      </c>
      <c r="C7" s="6" t="s">
        <v>16</v>
      </c>
      <c r="D7" s="6" t="s">
        <v>27</v>
      </c>
      <c r="E7" s="6">
        <v>62000</v>
      </c>
      <c r="F7" s="6">
        <v>2019</v>
      </c>
    </row>
    <row r="8" spans="1:6" x14ac:dyDescent="0.3">
      <c r="A8" s="6" t="s">
        <v>28</v>
      </c>
      <c r="B8" s="6" t="s">
        <v>29</v>
      </c>
      <c r="C8" s="6" t="s">
        <v>8</v>
      </c>
      <c r="D8" s="6" t="s">
        <v>30</v>
      </c>
      <c r="E8" s="6">
        <v>47000</v>
      </c>
      <c r="F8" s="6">
        <v>2020</v>
      </c>
    </row>
    <row r="9" spans="1:6" x14ac:dyDescent="0.3">
      <c r="A9" s="6" t="s">
        <v>31</v>
      </c>
      <c r="B9" s="6" t="s">
        <v>32</v>
      </c>
      <c r="C9" s="6" t="s">
        <v>12</v>
      </c>
      <c r="D9" s="6" t="s">
        <v>17</v>
      </c>
      <c r="E9" s="6">
        <v>54000</v>
      </c>
      <c r="F9" s="6">
        <v>2016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167E-3EDD-490A-A74E-839DD41968CF}">
  <dimension ref="A1:F2"/>
  <sheetViews>
    <sheetView workbookViewId="0"/>
  </sheetViews>
  <sheetFormatPr defaultRowHeight="14.5" x14ac:dyDescent="0.35"/>
  <cols>
    <col min="1" max="1" width="10.90625" bestFit="1" customWidth="1"/>
  </cols>
  <sheetData>
    <row r="1" spans="1:6" x14ac:dyDescent="0.35">
      <c r="A1" s="3" t="s">
        <v>2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</row>
    <row r="2" spans="1:6" x14ac:dyDescent="0.35">
      <c r="A2" s="3" t="s">
        <v>33</v>
      </c>
      <c r="B2" s="4">
        <v>0.1</v>
      </c>
      <c r="C2" s="4">
        <v>0.08</v>
      </c>
      <c r="D2" s="4">
        <v>0.12</v>
      </c>
      <c r="E2" s="4">
        <v>0.15</v>
      </c>
      <c r="F2" s="4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BC60-AE3D-44D9-A018-9C198B69BF6C}">
  <dimension ref="A1:B2"/>
  <sheetViews>
    <sheetView workbookViewId="0">
      <selection activeCell="B2" sqref="B2"/>
    </sheetView>
  </sheetViews>
  <sheetFormatPr defaultRowHeight="14.5" x14ac:dyDescent="0.35"/>
  <cols>
    <col min="1" max="1" width="11.81640625" customWidth="1"/>
    <col min="2" max="2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18</v>
      </c>
      <c r="B2" t="str">
        <f>VLOOKUP(A2,Employee_Data!A1:F9,2,0)</f>
        <v>Neha Singh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8EF7-803D-4274-9AF1-10E08E7C823B}">
  <dimension ref="A1:B23"/>
  <sheetViews>
    <sheetView topLeftCell="A4" zoomScaleNormal="100" workbookViewId="0">
      <selection activeCell="A6" sqref="A6:B7"/>
    </sheetView>
  </sheetViews>
  <sheetFormatPr defaultRowHeight="14.5" x14ac:dyDescent="0.35"/>
  <cols>
    <col min="1" max="1" width="21.08984375" style="2" customWidth="1"/>
    <col min="2" max="2" width="12" style="2" customWidth="1"/>
    <col min="3" max="16384" width="8.7265625" style="2"/>
  </cols>
  <sheetData>
    <row r="1" spans="1:2" x14ac:dyDescent="0.35">
      <c r="A1" s="2" t="s">
        <v>34</v>
      </c>
    </row>
    <row r="2" spans="1:2" x14ac:dyDescent="0.35">
      <c r="A2" s="8" t="s">
        <v>0</v>
      </c>
      <c r="B2" s="8" t="s">
        <v>1</v>
      </c>
    </row>
    <row r="3" spans="1:2" x14ac:dyDescent="0.35">
      <c r="A3" s="7" t="s">
        <v>18</v>
      </c>
      <c r="B3" s="7" t="str">
        <f>VLOOKUP(A3,Search_Input!A2:B2,2,0)</f>
        <v>Neha Singh</v>
      </c>
    </row>
    <row r="5" spans="1:2" x14ac:dyDescent="0.35">
      <c r="A5" s="2" t="s">
        <v>35</v>
      </c>
    </row>
    <row r="6" spans="1:2" x14ac:dyDescent="0.35">
      <c r="A6" s="11" t="s">
        <v>0</v>
      </c>
      <c r="B6" s="11" t="s">
        <v>2</v>
      </c>
    </row>
    <row r="7" spans="1:2" x14ac:dyDescent="0.35">
      <c r="A7" s="7" t="s">
        <v>14</v>
      </c>
      <c r="B7" s="7" t="str">
        <f>VLOOKUP(A7,Employee_Data!A1:F9,3,0)</f>
        <v>IT</v>
      </c>
    </row>
    <row r="9" spans="1:2" x14ac:dyDescent="0.35">
      <c r="A9" s="2" t="s">
        <v>36</v>
      </c>
    </row>
    <row r="10" spans="1:2" x14ac:dyDescent="0.35">
      <c r="A10" s="11" t="s">
        <v>1</v>
      </c>
      <c r="B10" s="11" t="s">
        <v>4</v>
      </c>
    </row>
    <row r="11" spans="1:2" x14ac:dyDescent="0.35">
      <c r="A11" s="7" t="s">
        <v>19</v>
      </c>
      <c r="B11" s="7">
        <f>VLOOKUP(A11,Employee_Data!B1:F9,4,0)</f>
        <v>58000</v>
      </c>
    </row>
    <row r="13" spans="1:2" x14ac:dyDescent="0.35">
      <c r="A13" s="2" t="s">
        <v>37</v>
      </c>
    </row>
    <row r="14" spans="1:2" x14ac:dyDescent="0.35">
      <c r="A14" s="11" t="s">
        <v>0</v>
      </c>
      <c r="B14" s="11" t="s">
        <v>3</v>
      </c>
    </row>
    <row r="15" spans="1:2" x14ac:dyDescent="0.35">
      <c r="A15" s="7" t="s">
        <v>28</v>
      </c>
      <c r="B15" s="7" t="str">
        <f>VLOOKUP(A15,Employee_Data!A1:F9,4,0)</f>
        <v>Hyderabad</v>
      </c>
    </row>
    <row r="17" spans="1:2" x14ac:dyDescent="0.35">
      <c r="A17" s="2" t="s">
        <v>38</v>
      </c>
    </row>
    <row r="18" spans="1:2" x14ac:dyDescent="0.35">
      <c r="A18" s="11" t="s">
        <v>0</v>
      </c>
      <c r="B18" s="11" t="s">
        <v>1</v>
      </c>
    </row>
    <row r="19" spans="1:2" x14ac:dyDescent="0.35">
      <c r="A19" s="7" t="s">
        <v>39</v>
      </c>
      <c r="B19" s="7" t="str">
        <f>IFERROR(VLOOKUP(A19,Employee_Data!A1:F9,2,0),"Not Found")</f>
        <v>Not Found</v>
      </c>
    </row>
    <row r="21" spans="1:2" x14ac:dyDescent="0.35">
      <c r="A21" s="2" t="s">
        <v>40</v>
      </c>
    </row>
    <row r="22" spans="1:2" x14ac:dyDescent="0.35">
      <c r="A22" s="11" t="s">
        <v>0</v>
      </c>
      <c r="B22" s="11" t="s">
        <v>5</v>
      </c>
    </row>
    <row r="23" spans="1:2" x14ac:dyDescent="0.35">
      <c r="A23" s="7" t="s">
        <v>6</v>
      </c>
      <c r="B23" s="7">
        <f>VLOOKUP(A23,Employee_Data!A1:F9,6,0)</f>
        <v>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8A7E-66B8-4435-BECF-28A7DAB3D6AD}">
  <dimension ref="A1:F20"/>
  <sheetViews>
    <sheetView workbookViewId="0">
      <selection activeCell="A2" sqref="A2:B3"/>
    </sheetView>
  </sheetViews>
  <sheetFormatPr defaultRowHeight="14.5" x14ac:dyDescent="0.35"/>
  <cols>
    <col min="1" max="1" width="34.26953125" bestFit="1" customWidth="1"/>
  </cols>
  <sheetData>
    <row r="1" spans="1:6" x14ac:dyDescent="0.35">
      <c r="A1" t="s">
        <v>41</v>
      </c>
    </row>
    <row r="2" spans="1:6" x14ac:dyDescent="0.35">
      <c r="A2" s="11" t="s">
        <v>2</v>
      </c>
      <c r="B2" s="11" t="s">
        <v>33</v>
      </c>
    </row>
    <row r="3" spans="1:6" x14ac:dyDescent="0.35">
      <c r="A3" s="7" t="s">
        <v>16</v>
      </c>
      <c r="B3" s="10">
        <f>HLOOKUP(A3,Department_Bonus!A1:F2,2,0)</f>
        <v>0.12</v>
      </c>
    </row>
    <row r="5" spans="1:6" x14ac:dyDescent="0.35">
      <c r="A5" t="s">
        <v>42</v>
      </c>
    </row>
    <row r="6" spans="1:6" x14ac:dyDescent="0.35">
      <c r="A6" s="11" t="s">
        <v>2</v>
      </c>
      <c r="B6" s="11" t="s">
        <v>33</v>
      </c>
    </row>
    <row r="7" spans="1:6" x14ac:dyDescent="0.35">
      <c r="A7" s="7" t="s">
        <v>20</v>
      </c>
      <c r="B7" s="10">
        <f>HLOOKUP(A7,Department_Bonus!A1:F2,2,0)</f>
        <v>0.15</v>
      </c>
    </row>
    <row r="9" spans="1:6" ht="43.5" x14ac:dyDescent="0.35">
      <c r="A9" s="9" t="s">
        <v>43</v>
      </c>
    </row>
    <row r="10" spans="1:6" ht="26.5" x14ac:dyDescent="0.35">
      <c r="A10" s="11" t="s">
        <v>0</v>
      </c>
      <c r="B10" s="11" t="s">
        <v>44</v>
      </c>
      <c r="F10" s="5"/>
    </row>
    <row r="11" spans="1:6" x14ac:dyDescent="0.35">
      <c r="A11" s="7" t="s">
        <v>18</v>
      </c>
      <c r="B11" s="7"/>
    </row>
    <row r="18" spans="1:2" x14ac:dyDescent="0.35">
      <c r="A18" t="s">
        <v>45</v>
      </c>
    </row>
    <row r="19" spans="1:2" x14ac:dyDescent="0.35">
      <c r="A19" s="11" t="s">
        <v>2</v>
      </c>
      <c r="B19" s="11" t="s">
        <v>33</v>
      </c>
    </row>
    <row r="20" spans="1:2" x14ac:dyDescent="0.35">
      <c r="A20" s="7" t="s">
        <v>46</v>
      </c>
      <c r="B20" s="7" t="str">
        <f>IFERROR(HLOOKUP(A20,Department_Bonus!A1:F2,2,0),"No Bonus Data")</f>
        <v>No Bonus Data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46D7-131D-4D46-9B39-AF38A71398E3}">
  <dimension ref="A1:B19"/>
  <sheetViews>
    <sheetView tabSelected="1" workbookViewId="0"/>
  </sheetViews>
  <sheetFormatPr defaultRowHeight="14.5" x14ac:dyDescent="0.35"/>
  <cols>
    <col min="1" max="1" width="19.1796875" customWidth="1"/>
    <col min="2" max="2" width="18.36328125" bestFit="1" customWidth="1"/>
  </cols>
  <sheetData>
    <row r="1" spans="1:2" x14ac:dyDescent="0.35">
      <c r="A1" t="s">
        <v>47</v>
      </c>
    </row>
    <row r="2" spans="1:2" x14ac:dyDescent="0.35">
      <c r="A2" s="11" t="s">
        <v>0</v>
      </c>
      <c r="B2" s="11" t="s">
        <v>4</v>
      </c>
    </row>
    <row r="3" spans="1:2" x14ac:dyDescent="0.35">
      <c r="A3" s="7" t="s">
        <v>25</v>
      </c>
      <c r="B3" s="7">
        <f>_xlfn.XLOOKUP(A3,Employee_Data!A2:A9,Employee_Data!E2:E9,"Invalid")</f>
        <v>62000</v>
      </c>
    </row>
    <row r="5" spans="1:2" x14ac:dyDescent="0.35">
      <c r="A5" t="s">
        <v>48</v>
      </c>
    </row>
    <row r="6" spans="1:2" x14ac:dyDescent="0.35">
      <c r="A6" s="11" t="s">
        <v>1</v>
      </c>
      <c r="B6" s="11" t="s">
        <v>2</v>
      </c>
    </row>
    <row r="7" spans="1:2" x14ac:dyDescent="0.35">
      <c r="A7" s="7" t="s">
        <v>19</v>
      </c>
      <c r="B7" s="7" t="str">
        <f>_xlfn.XLOOKUP(A7,Employee_Data!B2:B9,Employee_Data!C2:C9)</f>
        <v>Finance</v>
      </c>
    </row>
    <row r="9" spans="1:2" x14ac:dyDescent="0.35">
      <c r="A9" t="s">
        <v>49</v>
      </c>
    </row>
    <row r="10" spans="1:2" x14ac:dyDescent="0.35">
      <c r="A10" s="11" t="s">
        <v>1</v>
      </c>
      <c r="B10" s="11" t="s">
        <v>3</v>
      </c>
    </row>
    <row r="11" spans="1:2" x14ac:dyDescent="0.35">
      <c r="A11" s="7" t="s">
        <v>15</v>
      </c>
      <c r="B11" s="7" t="str">
        <f>_xlfn.XLOOKUP(A11,Employee_Data!B2:B9,Employee_Data!D2:D9)</f>
        <v>Bangalore</v>
      </c>
    </row>
    <row r="13" spans="1:2" x14ac:dyDescent="0.35">
      <c r="A13" t="s">
        <v>50</v>
      </c>
    </row>
    <row r="14" spans="1:2" x14ac:dyDescent="0.35">
      <c r="A14" s="11" t="s">
        <v>0</v>
      </c>
      <c r="B14" s="11" t="s">
        <v>1</v>
      </c>
    </row>
    <row r="15" spans="1:2" x14ac:dyDescent="0.35">
      <c r="A15" s="7" t="s">
        <v>51</v>
      </c>
      <c r="B15" s="7" t="str">
        <f>_xlfn.XLOOKUP(A15,Employee_Data!B5:B12,Employee_Data!D5:D12,"Employee Not Found")</f>
        <v>Employee Not Found</v>
      </c>
    </row>
    <row r="17" spans="1:2" x14ac:dyDescent="0.35">
      <c r="A17" t="s">
        <v>52</v>
      </c>
    </row>
    <row r="18" spans="1:2" x14ac:dyDescent="0.35">
      <c r="A18" s="11" t="s">
        <v>2</v>
      </c>
      <c r="B18" s="11" t="s">
        <v>12</v>
      </c>
    </row>
    <row r="19" spans="1:2" x14ac:dyDescent="0.35">
      <c r="A19" s="7" t="s">
        <v>33</v>
      </c>
      <c r="B19" s="7">
        <f>_xlfn.XLOOKUP(B18,Department_Bonus!B1:F1,Department_Bonus!B2:F2)</f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Employee_Data</vt:lpstr>
      <vt:lpstr>Department_Bonus</vt:lpstr>
      <vt:lpstr>Search_Input</vt:lpstr>
      <vt:lpstr>VLOOKUP Tasks (1–6)</vt:lpstr>
      <vt:lpstr>HLOOKUP Tasks (7–10)</vt:lpstr>
      <vt:lpstr>XLOOKUP Tasks (11–15)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ASDC18</dc:creator>
  <cp:lastModifiedBy>ASDC18</cp:lastModifiedBy>
  <dcterms:created xsi:type="dcterms:W3CDTF">2026-07-12T07:59:09Z</dcterms:created>
  <dcterms:modified xsi:type="dcterms:W3CDTF">2026-07-12T09:22:59Z</dcterms:modified>
</cp:coreProperties>
</file>